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slicers/slicer6.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i\Desktop\"/>
    </mc:Choice>
  </mc:AlternateContent>
  <bookViews>
    <workbookView xWindow="0" yWindow="0" windowWidth="20490" windowHeight="7620" tabRatio="881" activeTab="2"/>
  </bookViews>
  <sheets>
    <sheet name="Movie" sheetId="1" r:id="rId1"/>
    <sheet name="MoviePivot" sheetId="14" r:id="rId2"/>
    <sheet name="Sheet4" sheetId="28" r:id="rId3"/>
    <sheet name="MovieDashBoard" sheetId="21" r:id="rId4"/>
    <sheet name="Theater" sheetId="2" r:id="rId5"/>
    <sheet name="TheaterPivot" sheetId="17" r:id="rId6"/>
    <sheet name="TheaterDashboard" sheetId="22" r:id="rId7"/>
    <sheet name="Shows" sheetId="3" r:id="rId8"/>
    <sheet name="showspivot" sheetId="24" r:id="rId9"/>
    <sheet name="showsdashboard" sheetId="23" r:id="rId10"/>
    <sheet name="Bookings" sheetId="4" r:id="rId11"/>
    <sheet name="bookingpivot" sheetId="25" r:id="rId12"/>
    <sheet name="bookingdashboard" sheetId="26" r:id="rId13"/>
    <sheet name="main dashboard" sheetId="27" r:id="rId14"/>
  </sheets>
  <definedNames>
    <definedName name="_xlcn.WorksheetConnection_BookSmart.xlsxBookings" hidden="1">Bookings[]</definedName>
    <definedName name="_xlcn.WorksheetConnection_BookSmart.xlsxMovies" hidden="1">Movies[]</definedName>
    <definedName name="_xlcn.WorksheetConnection_BookSmart.xlsxShows" hidden="1">Shows[]</definedName>
    <definedName name="_xlcn.WorksheetConnection_BookSmart.xlsxTheater" hidden="1">Theater[]</definedName>
    <definedName name="Slicer_Booking_Date">#N/A</definedName>
    <definedName name="Slicer_Booking_ID">#N/A</definedName>
    <definedName name="Slicer_Capacity">#N/A</definedName>
    <definedName name="Slicer_City">#N/A</definedName>
    <definedName name="Slicer_Customer_Name">#N/A</definedName>
    <definedName name="Slicer_Duration">#N/A</definedName>
    <definedName name="Slicer_Genre">#N/A</definedName>
    <definedName name="Slicer_language">#N/A</definedName>
    <definedName name="Slicer_Movie_ID">#N/A</definedName>
    <definedName name="Slicer_Movie_ID1">#N/A</definedName>
    <definedName name="Slicer_Movie_Name">#N/A</definedName>
    <definedName name="Slicer_Rating">#N/A</definedName>
    <definedName name="Slicer_Rating1">#N/A</definedName>
    <definedName name="Slicer_Screens">#N/A</definedName>
    <definedName name="Slicer_Show_Date">#N/A</definedName>
    <definedName name="Slicer_Show_ID">#N/A</definedName>
    <definedName name="Slicer_Show_ID1">#N/A</definedName>
    <definedName name="Slicer_Show_Time">#N/A</definedName>
    <definedName name="Slicer_Theater_ID">#N/A</definedName>
    <definedName name="Slicer_Theater_Name">#N/A</definedName>
    <definedName name="Slicer_Ticket_Price">#N/A</definedName>
    <definedName name="Slicer_Tickets_Booked">#N/A</definedName>
    <definedName name="Slicer_Type">#N/A</definedName>
  </definedNames>
  <calcPr calcId="162913"/>
  <pivotCaches>
    <pivotCache cacheId="0" r:id="rId15"/>
    <pivotCache cacheId="1" r:id="rId16"/>
    <pivotCache cacheId="2" r:id="rId17"/>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heater" name="Theater" connection="WorksheetConnection_BookSmart.xlsx!Theater"/>
          <x15:modelTable id="Shows" name="Shows" connection="WorksheetConnection_BookSmart.xlsx!Shows"/>
          <x15:modelTable id="Movies" name="Movies" connection="WorksheetConnection_BookSmart.xlsx!Movies"/>
          <x15:modelTable id="Bookings" name="Bookings" connection="WorksheetConnection_BookSmart.xlsx!Bookings"/>
        </x15:modelTables>
        <x15:modelRelationships>
          <x15:modelRelationship fromTable="Shows" fromColumn="Theater_ID" toTable="Theater" toColumn="Theater_ID"/>
          <x15:modelRelationship fromTable="Shows" fromColumn="Movie_ID" toTable="Movies" toColumn="Movie_ID"/>
        </x15:modelRelationships>
        <x15:extLst>
          <ext xmlns:x16="http://schemas.microsoft.com/office/spreadsheetml/2014/11/main" uri="{9835A34E-60A6-4A7C-AAB8-D5F71C897F49}">
            <x16:modelTimeGroupings>
              <x16:modelTimeGrouping tableName="Shows" columnName="Show_Date" columnId="Show_Date">
                <x16:calculatedTimeColumn columnName="Show_Date (Month Index)" columnId="Show_Date (Month Index)" contentType="monthsindex" isSelected="1"/>
                <x16:calculatedTimeColumn columnName="Show_Date (Month)" columnId="Show_Date (Month)" contentType="months" isSelected="1"/>
              </x16:modelTimeGrouping>
            </x16:modelTimeGroupings>
          </ext>
        </x15:extLst>
      </x15:dataModel>
    </ext>
  </extLst>
</workbook>
</file>

<file path=xl/calcChain.xml><?xml version="1.0" encoding="utf-8"?>
<calcChain xmlns="http://schemas.openxmlformats.org/spreadsheetml/2006/main">
  <c r="B11" i="4" l="1"/>
  <c r="B10" i="4"/>
  <c r="B9" i="4"/>
  <c r="B8" i="4"/>
  <c r="B7" i="4"/>
  <c r="B6" i="4"/>
  <c r="B5" i="4"/>
  <c r="B4" i="4"/>
  <c r="B3" i="4"/>
  <c r="B2" i="4"/>
  <c r="C11" i="3"/>
  <c r="B11" i="3"/>
  <c r="C10" i="3"/>
  <c r="B10" i="3"/>
  <c r="C9" i="3"/>
  <c r="B9" i="3"/>
  <c r="C8" i="3"/>
  <c r="B8" i="3"/>
  <c r="C7" i="3"/>
  <c r="B7" i="3"/>
  <c r="C6" i="3"/>
  <c r="B6" i="3"/>
  <c r="C5" i="3"/>
  <c r="B5" i="3"/>
  <c r="C4" i="3"/>
  <c r="B4" i="3"/>
  <c r="C3" i="3"/>
  <c r="B3" i="3"/>
  <c r="C2" i="3"/>
  <c r="B2" i="3"/>
</calcChain>
</file>

<file path=xl/connections.xml><?xml version="1.0" encoding="utf-8"?>
<connections xmlns="http://schemas.openxmlformats.org/spreadsheetml/2006/main">
  <connection id="1" keepAlive="1" name="Query - Theater" description="Connection to the 'Theater' query in the workbook." type="5" refreshedVersion="0" background="1">
    <dbPr connection="Provider=Microsoft.Mashup.OleDb.1;Data Source=$Workbook$;Location=Theater" command="SELECT * FROM [Theater]"/>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Smart.xlsx!Bookings" type="102" refreshedVersion="6" minRefreshableVersion="5">
    <extLst>
      <ext xmlns:x15="http://schemas.microsoft.com/office/spreadsheetml/2010/11/main" uri="{DE250136-89BD-433C-8126-D09CA5730AF9}">
        <x15:connection id="Bookings">
          <x15:rangePr sourceName="_xlcn.WorksheetConnection_BookSmart.xlsxBookings"/>
        </x15:connection>
      </ext>
    </extLst>
  </connection>
  <connection id="4" name="WorksheetConnection_BookSmart.xlsx!Movies" type="102" refreshedVersion="6" minRefreshableVersion="5">
    <extLst>
      <ext xmlns:x15="http://schemas.microsoft.com/office/spreadsheetml/2010/11/main" uri="{DE250136-89BD-433C-8126-D09CA5730AF9}">
        <x15:connection id="Movies">
          <x15:rangePr sourceName="_xlcn.WorksheetConnection_BookSmart.xlsxMovies"/>
        </x15:connection>
      </ext>
    </extLst>
  </connection>
  <connection id="5" name="WorksheetConnection_BookSmart.xlsx!Shows" type="102" refreshedVersion="6" minRefreshableVersion="5">
    <extLst>
      <ext xmlns:x15="http://schemas.microsoft.com/office/spreadsheetml/2010/11/main" uri="{DE250136-89BD-433C-8126-D09CA5730AF9}">
        <x15:connection id="Shows">
          <x15:rangePr sourceName="_xlcn.WorksheetConnection_BookSmart.xlsxShows"/>
        </x15:connection>
      </ext>
    </extLst>
  </connection>
  <connection id="6" name="WorksheetConnection_BookSmart.xlsx!Theater" type="102" refreshedVersion="6" minRefreshableVersion="5">
    <extLst>
      <ext xmlns:x15="http://schemas.microsoft.com/office/spreadsheetml/2010/11/main" uri="{DE250136-89BD-433C-8126-D09CA5730AF9}">
        <x15:connection id="Theater" autoDelete="1">
          <x15:rangePr sourceName="_xlcn.WorksheetConnection_BookSmart.xlsxTheater"/>
        </x15:connection>
      </ext>
    </extLst>
  </connection>
</connections>
</file>

<file path=xl/sharedStrings.xml><?xml version="1.0" encoding="utf-8"?>
<sst xmlns="http://schemas.openxmlformats.org/spreadsheetml/2006/main" count="295" uniqueCount="137">
  <si>
    <t>Movie_ID</t>
  </si>
  <si>
    <t>Movie_Name</t>
  </si>
  <si>
    <t>Genre</t>
  </si>
  <si>
    <t>Duration</t>
  </si>
  <si>
    <t>Rating</t>
  </si>
  <si>
    <t>M101</t>
  </si>
  <si>
    <t>M102</t>
  </si>
  <si>
    <t>M103</t>
  </si>
  <si>
    <t>M104</t>
  </si>
  <si>
    <t>M105</t>
  </si>
  <si>
    <t>M106</t>
  </si>
  <si>
    <t>M107</t>
  </si>
  <si>
    <t>M108</t>
  </si>
  <si>
    <t>M109</t>
  </si>
  <si>
    <t>M110</t>
  </si>
  <si>
    <t>Avengers : Endgame</t>
  </si>
  <si>
    <t>Action</t>
  </si>
  <si>
    <t>Barbie</t>
  </si>
  <si>
    <t>Comedy</t>
  </si>
  <si>
    <t>Oppenhenimer</t>
  </si>
  <si>
    <t>Darma</t>
  </si>
  <si>
    <t>Inside Out 2</t>
  </si>
  <si>
    <t>Animation</t>
  </si>
  <si>
    <t>language</t>
  </si>
  <si>
    <t>English</t>
  </si>
  <si>
    <t>Tamil</t>
  </si>
  <si>
    <t>Pathan</t>
  </si>
  <si>
    <t>Hindi</t>
  </si>
  <si>
    <t>Jawan</t>
  </si>
  <si>
    <t>3 Idiots</t>
  </si>
  <si>
    <t>Zindagi Na Milegi Dobara</t>
  </si>
  <si>
    <t>Drama</t>
  </si>
  <si>
    <t>Theater_Name</t>
  </si>
  <si>
    <t>City</t>
  </si>
  <si>
    <t>Capacity</t>
  </si>
  <si>
    <t>Screens</t>
  </si>
  <si>
    <t>Type</t>
  </si>
  <si>
    <t>T01</t>
  </si>
  <si>
    <t>T02</t>
  </si>
  <si>
    <t>T03</t>
  </si>
  <si>
    <t>T04</t>
  </si>
  <si>
    <t>T05</t>
  </si>
  <si>
    <t>T06</t>
  </si>
  <si>
    <t>T07</t>
  </si>
  <si>
    <t>T08</t>
  </si>
  <si>
    <t>T09</t>
  </si>
  <si>
    <t>T10</t>
  </si>
  <si>
    <t>PVR Icon</t>
  </si>
  <si>
    <t>Goregoan</t>
  </si>
  <si>
    <t>Mumbai</t>
  </si>
  <si>
    <t>Multiplex</t>
  </si>
  <si>
    <t>INOX City center</t>
  </si>
  <si>
    <t>Andheri</t>
  </si>
  <si>
    <t>Cinepolis</t>
  </si>
  <si>
    <t>Bandra</t>
  </si>
  <si>
    <t>Carnival Cinemas</t>
  </si>
  <si>
    <t>Borivali</t>
  </si>
  <si>
    <t>Miraj Plazza</t>
  </si>
  <si>
    <t>PVR Forum</t>
  </si>
  <si>
    <t>Malad</t>
  </si>
  <si>
    <t>INOX Plazza</t>
  </si>
  <si>
    <t>Jogeshwari</t>
  </si>
  <si>
    <t>PVR Gold</t>
  </si>
  <si>
    <t>Khar</t>
  </si>
  <si>
    <t>Cinepolis Square</t>
  </si>
  <si>
    <t>Premium</t>
  </si>
  <si>
    <t>City Pride</t>
  </si>
  <si>
    <t>Singel Screen</t>
  </si>
  <si>
    <t>City2</t>
  </si>
  <si>
    <t>Theater_ID</t>
  </si>
  <si>
    <t>Show_ID</t>
  </si>
  <si>
    <t>Show_Date</t>
  </si>
  <si>
    <t>Show_Time</t>
  </si>
  <si>
    <t>S101</t>
  </si>
  <si>
    <t>S102</t>
  </si>
  <si>
    <t>S103</t>
  </si>
  <si>
    <t>S104</t>
  </si>
  <si>
    <t>S105</t>
  </si>
  <si>
    <t>S106</t>
  </si>
  <si>
    <t>S107</t>
  </si>
  <si>
    <t>S108</t>
  </si>
  <si>
    <t>S109</t>
  </si>
  <si>
    <t>S110</t>
  </si>
  <si>
    <t>Kantara</t>
  </si>
  <si>
    <t>Thriller</t>
  </si>
  <si>
    <t>Kannada</t>
  </si>
  <si>
    <t>Booking_ID</t>
  </si>
  <si>
    <t>Customer_Name</t>
  </si>
  <si>
    <t>Tickets_Booked</t>
  </si>
  <si>
    <t>Ticket_Price</t>
  </si>
  <si>
    <t>Booking_Date</t>
  </si>
  <si>
    <t>B001</t>
  </si>
  <si>
    <t>B002</t>
  </si>
  <si>
    <t>B003</t>
  </si>
  <si>
    <t>B004</t>
  </si>
  <si>
    <t>B005</t>
  </si>
  <si>
    <t>B006</t>
  </si>
  <si>
    <t>B007</t>
  </si>
  <si>
    <t>B008</t>
  </si>
  <si>
    <t>B009</t>
  </si>
  <si>
    <t>B010</t>
  </si>
  <si>
    <t>Priya</t>
  </si>
  <si>
    <t>Karan</t>
  </si>
  <si>
    <t>Shubham</t>
  </si>
  <si>
    <t>Riya</t>
  </si>
  <si>
    <t>Aman</t>
  </si>
  <si>
    <t>Neha</t>
  </si>
  <si>
    <t>Arav</t>
  </si>
  <si>
    <t>Sara</t>
  </si>
  <si>
    <t>Tanvi</t>
  </si>
  <si>
    <t>Mohit</t>
  </si>
  <si>
    <t>Row Labels</t>
  </si>
  <si>
    <t>Grand Total</t>
  </si>
  <si>
    <t>Sum of Rating</t>
  </si>
  <si>
    <t>Sum of Capacity</t>
  </si>
  <si>
    <t>Leo</t>
  </si>
  <si>
    <t>Sum of Screens</t>
  </si>
  <si>
    <t>Count of Type</t>
  </si>
  <si>
    <t>Sum of Duration</t>
  </si>
  <si>
    <t>Count of Show_Time</t>
  </si>
  <si>
    <t>Oct</t>
  </si>
  <si>
    <t>Sum of Ticket_Price</t>
  </si>
  <si>
    <t>Sum of Tickets_Booked</t>
  </si>
  <si>
    <t>3-Nov</t>
  </si>
  <si>
    <t>5-Nov</t>
  </si>
  <si>
    <t>31-Oct</t>
  </si>
  <si>
    <t>8-Nov</t>
  </si>
  <si>
    <t>4-Nov</t>
  </si>
  <si>
    <t>2-Nov</t>
  </si>
  <si>
    <t>30-Oct</t>
  </si>
  <si>
    <t>6-Nov</t>
  </si>
  <si>
    <t>1-Nov</t>
  </si>
  <si>
    <t>7-Nov</t>
  </si>
  <si>
    <t>Column Labels</t>
  </si>
  <si>
    <t>Total Sum of Rating</t>
  </si>
  <si>
    <t>Total Sum of Duration</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</si>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</sst>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14" fontId="0" fillId="0" borderId="1" xfId="0" applyNumberFormat="1" applyBorder="1"/>
    <xf numFmtId="20" fontId="0" fillId="0" borderId="6" xfId="0" applyNumberFormat="1" applyBorder="1"/>
    <xf numFmtId="0" fontId="0" fillId="0" borderId="7" xfId="0" applyBorder="1"/>
    <xf numFmtId="0" fontId="0" fillId="0" borderId="8" xfId="0" applyBorder="1"/>
    <xf numFmtId="14" fontId="0" fillId="0" borderId="8" xfId="0" applyNumberFormat="1" applyBorder="1"/>
    <xf numFmtId="20" fontId="0" fillId="0" borderId="9"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xf numFmtId="0" fontId="1" fillId="2" borderId="0" xfId="0" applyFont="1" applyFill="1" applyBorder="1"/>
  </cellXfs>
  <cellStyles count="1">
    <cellStyle name="Normal" xfId="0" builtinId="0"/>
  </cellStyles>
  <dxfs count="10">
    <dxf>
      <numFmt numFmtId="19" formatCode="m/d/yyyy"/>
    </dxf>
    <dxf>
      <numFmt numFmtId="25" formatCode="h:mm"/>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8.xml"/><Relationship Id="rId39" Type="http://schemas.microsoft.com/office/2007/relationships/slicerCache" Target="slicerCaches/slicerCache21.xml"/><Relationship Id="rId21" Type="http://schemas.microsoft.com/office/2007/relationships/slicerCache" Target="slicerCaches/slicerCache3.xml"/><Relationship Id="rId34" Type="http://schemas.microsoft.com/office/2007/relationships/slicerCache" Target="slicerCaches/slicerCache16.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microsoft.com/office/2007/relationships/slicerCache" Target="slicerCaches/slicerCache19.xml"/><Relationship Id="rId40" Type="http://schemas.microsoft.com/office/2007/relationships/slicerCache" Target="slicerCaches/slicerCache2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microsoft.com/office/2007/relationships/slicerCache" Target="slicerCaches/slicerCache10.xml"/><Relationship Id="rId36" Type="http://schemas.microsoft.com/office/2007/relationships/slicerCache" Target="slicerCaches/slicerCache18.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7.xml"/><Relationship Id="rId33" Type="http://schemas.microsoft.com/office/2007/relationships/slicerCache" Target="slicerCaches/slicerCache15.xml"/><Relationship Id="rId38" Type="http://schemas.microsoft.com/office/2007/relationships/slicerCache" Target="slicerCaches/slicerCache20.xml"/><Relationship Id="rId46" Type="http://schemas.openxmlformats.org/officeDocument/2006/relationships/powerPivotData" Target="model/item.data"/><Relationship Id="rId20" Type="http://schemas.microsoft.com/office/2007/relationships/slicerCache" Target="slicerCaches/slicerCache2.xml"/><Relationship Id="rId41" Type="http://schemas.microsoft.com/office/2007/relationships/slicerCache" Target="slicerCaches/slicerCache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[BookSmart.xlsx]MoviePivot!PivotTable6</c:name>
    <c:fmtId val="2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pivotFmt>
      <c:pivotFmt>
        <c:idx val="28"/>
        <c:spPr>
          <a:solidFill>
            <a:schemeClr val="accent1"/>
          </a:solidFill>
          <a:ln>
            <a:noFill/>
          </a:ln>
          <a:effectLst/>
          <a:sp3d/>
        </c:spPr>
        <c:marker>
          <c:symbol val="none"/>
        </c:marker>
      </c:pivotFmt>
      <c:pivotFmt>
        <c:idx val="29"/>
        <c:spPr>
          <a:solidFill>
            <a:schemeClr val="accent1"/>
          </a:solidFill>
          <a:ln>
            <a:noFill/>
          </a:ln>
          <a:effectLst/>
          <a:sp3d/>
        </c:spPr>
        <c:marker>
          <c:symbol val="none"/>
        </c:marker>
      </c:pivotFmt>
      <c:pivotFmt>
        <c:idx val="30"/>
        <c:spPr>
          <a:solidFill>
            <a:schemeClr val="accent1"/>
          </a:solidFill>
          <a:ln>
            <a:noFill/>
          </a:ln>
          <a:effectLst/>
          <a:sp3d/>
        </c:spPr>
        <c:marker>
          <c:symbol val="none"/>
        </c:marker>
      </c:pivotFmt>
      <c:pivotFmt>
        <c:idx val="31"/>
        <c:spPr>
          <a:solidFill>
            <a:schemeClr val="accent1"/>
          </a:solidFill>
          <a:ln>
            <a:noFill/>
          </a:ln>
          <a:effectLst/>
          <a:sp3d/>
        </c:spPr>
        <c:marker>
          <c:symbol val="none"/>
        </c:marker>
      </c:pivotFmt>
      <c:pivotFmt>
        <c:idx val="32"/>
        <c:spPr>
          <a:solidFill>
            <a:schemeClr val="accent1"/>
          </a:solidFill>
          <a:ln>
            <a:noFill/>
          </a:ln>
          <a:effectLst/>
          <a:sp3d/>
        </c:spPr>
        <c:marker>
          <c:symbol val="none"/>
        </c:marker>
      </c:pivotFmt>
      <c:pivotFmt>
        <c:idx val="33"/>
        <c:spPr>
          <a:solidFill>
            <a:schemeClr val="accent1"/>
          </a:solidFill>
          <a:ln>
            <a:noFill/>
          </a:ln>
          <a:effectLst/>
          <a:sp3d/>
        </c:spPr>
        <c:marker>
          <c:symbol val="none"/>
        </c:marker>
      </c:pivotFmt>
      <c:pivotFmt>
        <c:idx val="34"/>
        <c:spPr>
          <a:solidFill>
            <a:schemeClr val="accent1"/>
          </a:solidFill>
          <a:ln>
            <a:noFill/>
          </a:ln>
          <a:effectLst/>
          <a:sp3d/>
        </c:spPr>
        <c:marker>
          <c:symbol val="none"/>
        </c:marker>
      </c:pivotFmt>
      <c:pivotFmt>
        <c:idx val="35"/>
        <c:spPr>
          <a:solidFill>
            <a:schemeClr val="accent1"/>
          </a:solidFill>
          <a:ln>
            <a:noFill/>
          </a:ln>
          <a:effectLst/>
          <a:sp3d/>
        </c:spPr>
        <c:marker>
          <c:symbol val="none"/>
        </c:marker>
      </c:pivotFmt>
      <c:pivotFmt>
        <c:idx val="36"/>
        <c:spPr>
          <a:solidFill>
            <a:schemeClr val="accent1"/>
          </a:solidFill>
          <a:ln>
            <a:noFill/>
          </a:ln>
          <a:effectLst/>
          <a:sp3d/>
        </c:spPr>
        <c:marker>
          <c:symbol val="none"/>
        </c:marker>
      </c:pivotFmt>
      <c:pivotFmt>
        <c:idx val="37"/>
        <c:spPr>
          <a:solidFill>
            <a:schemeClr val="accent1"/>
          </a:solidFill>
          <a:ln>
            <a:noFill/>
          </a:ln>
          <a:effectLst/>
          <a:sp3d/>
        </c:spPr>
        <c:marker>
          <c:symbol val="none"/>
        </c:marker>
      </c:pivotFmt>
      <c:pivotFmt>
        <c:idx val="38"/>
        <c:spPr>
          <a:solidFill>
            <a:schemeClr val="accent1"/>
          </a:solidFill>
          <a:ln>
            <a:noFill/>
          </a:ln>
          <a:effectLst/>
          <a:sp3d/>
        </c:spPr>
        <c:marker>
          <c:symbol val="none"/>
        </c:marker>
      </c:pivotFmt>
      <c:pivotFmt>
        <c:idx val="39"/>
        <c:spPr>
          <a:solidFill>
            <a:schemeClr val="accent1"/>
          </a:solidFill>
          <a:ln>
            <a:noFill/>
          </a:ln>
          <a:effectLst/>
          <a:sp3d/>
        </c:spPr>
        <c:marker>
          <c:symbol val="none"/>
        </c:marker>
      </c:pivotFmt>
      <c:pivotFmt>
        <c:idx val="40"/>
        <c:spPr>
          <a:solidFill>
            <a:schemeClr val="accent1"/>
          </a:solidFill>
          <a:ln>
            <a:noFill/>
          </a:ln>
          <a:effectLst/>
          <a:sp3d/>
        </c:spPr>
        <c:marker>
          <c:symbol val="none"/>
        </c:marker>
      </c:pivotFmt>
      <c:pivotFmt>
        <c:idx val="41"/>
        <c:spPr>
          <a:solidFill>
            <a:schemeClr val="accent1"/>
          </a:solidFill>
          <a:ln>
            <a:noFill/>
          </a:ln>
          <a:effectLst/>
          <a:sp3d/>
        </c:spPr>
        <c:marker>
          <c:symbol val="none"/>
        </c:marker>
      </c:pivotFmt>
      <c:pivotFmt>
        <c:idx val="42"/>
        <c:spPr>
          <a:solidFill>
            <a:schemeClr val="accent1"/>
          </a:solidFill>
          <a:ln>
            <a:noFill/>
          </a:ln>
          <a:effectLst/>
          <a:sp3d/>
        </c:spPr>
        <c:marker>
          <c:symbol val="none"/>
        </c:marker>
      </c:pivotFmt>
      <c:pivotFmt>
        <c:idx val="43"/>
        <c:spPr>
          <a:solidFill>
            <a:schemeClr val="accent1"/>
          </a:solidFill>
          <a:ln>
            <a:noFill/>
          </a:ln>
          <a:effectLst/>
          <a:sp3d/>
        </c:spPr>
        <c:marker>
          <c:symbol val="none"/>
        </c:marker>
      </c:pivotFmt>
      <c:pivotFmt>
        <c:idx val="44"/>
        <c:spPr>
          <a:solidFill>
            <a:schemeClr val="accent1"/>
          </a:solidFill>
          <a:ln>
            <a:noFill/>
          </a:ln>
          <a:effectLst/>
          <a:sp3d/>
        </c:spPr>
        <c:marker>
          <c:symbol val="none"/>
        </c:marker>
      </c:pivotFmt>
      <c:pivotFmt>
        <c:idx val="45"/>
        <c:spPr>
          <a:solidFill>
            <a:schemeClr val="accent1"/>
          </a:solidFill>
          <a:ln>
            <a:noFill/>
          </a:ln>
          <a:effectLst/>
          <a:sp3d/>
        </c:spPr>
        <c:marker>
          <c:symbol val="none"/>
        </c:marker>
      </c:pivotFmt>
      <c:pivotFmt>
        <c:idx val="46"/>
        <c:spPr>
          <a:solidFill>
            <a:schemeClr val="accent1"/>
          </a:solidFill>
          <a:ln>
            <a:noFill/>
          </a:ln>
          <a:effectLst/>
          <a:sp3d/>
        </c:spPr>
        <c:marker>
          <c:symbol val="none"/>
        </c:marker>
      </c:pivotFmt>
      <c:pivotFmt>
        <c:idx val="47"/>
        <c:spPr>
          <a:solidFill>
            <a:schemeClr val="accent1"/>
          </a:solidFill>
          <a:ln>
            <a:noFill/>
          </a:ln>
          <a:effectLst/>
          <a:sp3d/>
        </c:spPr>
        <c:marker>
          <c:symbol val="none"/>
        </c:marker>
      </c:pivotFmt>
      <c:pivotFmt>
        <c:idx val="48"/>
        <c:spPr>
          <a:solidFill>
            <a:schemeClr val="accent1"/>
          </a:solidFill>
          <a:ln>
            <a:noFill/>
          </a:ln>
          <a:effectLst/>
          <a:sp3d/>
        </c:spPr>
        <c:marker>
          <c:symbol val="none"/>
        </c:marker>
      </c:pivotFmt>
      <c:pivotFmt>
        <c:idx val="4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MoviePivot!$K$3:$K$5</c:f>
              <c:strCache>
                <c:ptCount val="1"/>
                <c:pt idx="0">
                  <c:v>Sum of Rating - Action</c:v>
                </c:pt>
              </c:strCache>
            </c:strRef>
          </c:tx>
          <c:spPr>
            <a:solidFill>
              <a:schemeClr val="accent1"/>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MoviePivot!$K$6:$K$14</c:f>
              <c:numCache>
                <c:formatCode>General</c:formatCode>
                <c:ptCount val="4"/>
                <c:pt idx="1">
                  <c:v>7.8</c:v>
                </c:pt>
                <c:pt idx="2">
                  <c:v>7.2</c:v>
                </c:pt>
              </c:numCache>
            </c:numRef>
          </c:val>
          <c:extLst>
            <c:ext xmlns:c16="http://schemas.microsoft.com/office/drawing/2014/chart" uri="{C3380CC4-5D6E-409C-BE32-E72D297353CC}">
              <c16:uniqueId val="{00000000-2665-446A-B422-DD93E5064853}"/>
            </c:ext>
          </c:extLst>
        </c:ser>
        <c:ser>
          <c:idx val="1"/>
          <c:order val="1"/>
          <c:tx>
            <c:strRef>
              <c:f>MoviePivot!$L$3:$L$5</c:f>
              <c:strCache>
                <c:ptCount val="1"/>
                <c:pt idx="0">
                  <c:v>Sum of Rating - Comedy</c:v>
                </c:pt>
              </c:strCache>
            </c:strRef>
          </c:tx>
          <c:spPr>
            <a:solidFill>
              <a:schemeClr val="accent2"/>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MoviePivot!$L$6:$L$14</c:f>
              <c:numCache>
                <c:formatCode>General</c:formatCode>
                <c:ptCount val="4"/>
                <c:pt idx="0">
                  <c:v>8.4</c:v>
                </c:pt>
              </c:numCache>
            </c:numRef>
          </c:val>
          <c:extLst>
            <c:ext xmlns:c16="http://schemas.microsoft.com/office/drawing/2014/chart" uri="{C3380CC4-5D6E-409C-BE32-E72D297353CC}">
              <c16:uniqueId val="{00000001-2665-446A-B422-DD93E5064853}"/>
            </c:ext>
          </c:extLst>
        </c:ser>
        <c:ser>
          <c:idx val="2"/>
          <c:order val="2"/>
          <c:tx>
            <c:strRef>
              <c:f>MoviePivot!$M$3:$M$5</c:f>
              <c:strCache>
                <c:ptCount val="1"/>
                <c:pt idx="0">
                  <c:v>Sum of Rating - Drama</c:v>
                </c:pt>
              </c:strCache>
            </c:strRef>
          </c:tx>
          <c:spPr>
            <a:solidFill>
              <a:schemeClr val="accent3"/>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MoviePivot!$M$6:$M$14</c:f>
              <c:numCache>
                <c:formatCode>General</c:formatCode>
                <c:ptCount val="4"/>
                <c:pt idx="3">
                  <c:v>8.3000000000000007</c:v>
                </c:pt>
              </c:numCache>
            </c:numRef>
          </c:val>
          <c:extLst>
            <c:ext xmlns:c16="http://schemas.microsoft.com/office/drawing/2014/chart" uri="{C3380CC4-5D6E-409C-BE32-E72D297353CC}">
              <c16:uniqueId val="{0000005C-61E6-44E1-936A-48EABCB513DF}"/>
            </c:ext>
          </c:extLst>
        </c:ser>
        <c:ser>
          <c:idx val="3"/>
          <c:order val="3"/>
          <c:tx>
            <c:strRef>
              <c:f>MoviePivot!$N$3:$N$5</c:f>
              <c:strCache>
                <c:ptCount val="1"/>
                <c:pt idx="0">
                  <c:v>Sum of Duration - Action</c:v>
                </c:pt>
              </c:strCache>
            </c:strRef>
          </c:tx>
          <c:spPr>
            <a:solidFill>
              <a:schemeClr val="accent4"/>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MoviePivot!$N$6:$N$14</c:f>
              <c:numCache>
                <c:formatCode>General</c:formatCode>
                <c:ptCount val="4"/>
                <c:pt idx="1">
                  <c:v>169</c:v>
                </c:pt>
                <c:pt idx="2">
                  <c:v>146</c:v>
                </c:pt>
              </c:numCache>
            </c:numRef>
          </c:val>
          <c:extLst>
            <c:ext xmlns:c16="http://schemas.microsoft.com/office/drawing/2014/chart" uri="{C3380CC4-5D6E-409C-BE32-E72D297353CC}">
              <c16:uniqueId val="{0000005D-61E6-44E1-936A-48EABCB513DF}"/>
            </c:ext>
          </c:extLst>
        </c:ser>
        <c:ser>
          <c:idx val="4"/>
          <c:order val="4"/>
          <c:tx>
            <c:strRef>
              <c:f>MoviePivot!$O$3:$O$5</c:f>
              <c:strCache>
                <c:ptCount val="1"/>
                <c:pt idx="0">
                  <c:v>Sum of Duration - Comedy</c:v>
                </c:pt>
              </c:strCache>
            </c:strRef>
          </c:tx>
          <c:spPr>
            <a:solidFill>
              <a:schemeClr val="accent5"/>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MoviePivot!$O$6:$O$14</c:f>
              <c:numCache>
                <c:formatCode>General</c:formatCode>
                <c:ptCount val="4"/>
                <c:pt idx="0">
                  <c:v>171</c:v>
                </c:pt>
              </c:numCache>
            </c:numRef>
          </c:val>
          <c:extLst>
            <c:ext xmlns:c16="http://schemas.microsoft.com/office/drawing/2014/chart" uri="{C3380CC4-5D6E-409C-BE32-E72D297353CC}">
              <c16:uniqueId val="{0000005E-61E6-44E1-936A-48EABCB513DF}"/>
            </c:ext>
          </c:extLst>
        </c:ser>
        <c:ser>
          <c:idx val="5"/>
          <c:order val="5"/>
          <c:tx>
            <c:strRef>
              <c:f>MoviePivot!$P$3:$P$5</c:f>
              <c:strCache>
                <c:ptCount val="1"/>
                <c:pt idx="0">
                  <c:v>Sum of Duration - Drama</c:v>
                </c:pt>
              </c:strCache>
            </c:strRef>
          </c:tx>
          <c:spPr>
            <a:solidFill>
              <a:schemeClr val="accent6"/>
            </a:solidFill>
            <a:ln>
              <a:noFill/>
            </a:ln>
            <a:effectLst/>
            <a:sp3d/>
          </c:spPr>
          <c:invertIfNegative val="0"/>
          <c:cat>
            <c:multiLvlStrRef>
              <c:f>MoviePivot!$J$6:$J$14</c:f>
              <c:multiLvlStrCache>
                <c:ptCount val="4"/>
                <c:lvl>
                  <c:pt idx="0">
                    <c:v>Hindi</c:v>
                  </c:pt>
                  <c:pt idx="1">
                    <c:v>Hindi</c:v>
                  </c:pt>
                  <c:pt idx="2">
                    <c:v>Hindi</c:v>
                  </c:pt>
                  <c:pt idx="3">
                    <c:v>Hindi</c:v>
                  </c:pt>
                </c:lvl>
                <c:lvl>
                  <c:pt idx="0">
                    <c:v>3 Idiots</c:v>
                  </c:pt>
                  <c:pt idx="1">
                    <c:v>Jawan</c:v>
                  </c:pt>
                  <c:pt idx="2">
                    <c:v>Pathan</c:v>
                  </c:pt>
                  <c:pt idx="3">
                    <c:v>Zindagi Na Milegi Dobara</c:v>
                  </c:pt>
                </c:lvl>
              </c:multiLvlStrCache>
            </c:multiLvlStrRef>
          </c:cat>
          <c:val>
            <c:numRef>
              <c:f>MoviePivot!$P$6:$P$14</c:f>
              <c:numCache>
                <c:formatCode>General</c:formatCode>
                <c:ptCount val="4"/>
                <c:pt idx="3">
                  <c:v>155</c:v>
                </c:pt>
              </c:numCache>
            </c:numRef>
          </c:val>
          <c:extLst>
            <c:ext xmlns:c16="http://schemas.microsoft.com/office/drawing/2014/chart" uri="{C3380CC4-5D6E-409C-BE32-E72D297353CC}">
              <c16:uniqueId val="{0000005F-61E6-44E1-936A-48EABCB513DF}"/>
            </c:ext>
          </c:extLst>
        </c:ser>
        <c:dLbls>
          <c:showLegendKey val="0"/>
          <c:showVal val="0"/>
          <c:showCatName val="0"/>
          <c:showSerName val="0"/>
          <c:showPercent val="0"/>
          <c:showBubbleSize val="0"/>
        </c:dLbls>
        <c:gapWidth val="150"/>
        <c:shape val="box"/>
        <c:axId val="1364883184"/>
        <c:axId val="1364900240"/>
        <c:axId val="0"/>
      </c:bar3DChart>
      <c:catAx>
        <c:axId val="13648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00240"/>
        <c:crosses val="autoZero"/>
        <c:auto val="1"/>
        <c:lblAlgn val="ctr"/>
        <c:lblOffset val="100"/>
        <c:noMultiLvlLbl val="0"/>
      </c:catAx>
      <c:valAx>
        <c:axId val="13649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83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[BookSmart.xlsx]MoviePivot!PivotTable5</c:name>
    <c:fmtId val="14"/>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doughnutChart>
        <c:varyColors val="1"/>
        <c:ser>
          <c:idx val="0"/>
          <c:order val="0"/>
          <c:tx>
            <c:strRef>
              <c:f>MoviePivot!$B$3</c:f>
              <c:strCache>
                <c:ptCount val="1"/>
                <c:pt idx="0">
                  <c:v>Sum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40-46F1-A3A8-D3CB446BBD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40-46F1-A3A8-D3CB446BBD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40-46F1-A3A8-D3CB446BBD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40-46F1-A3A8-D3CB446BBD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40-46F1-A3A8-D3CB446BBD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40-46F1-A3A8-D3CB446BBD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40-46F1-A3A8-D3CB446BBD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40-46F1-A3A8-D3CB446BBD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40-46F1-A3A8-D3CB446BBD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C40-46F1-A3A8-D3CB446BBD72}"/>
              </c:ext>
            </c:extLst>
          </c:dPt>
          <c:cat>
            <c:strRef>
              <c:f>MoviePivot!$A$4:$A$8</c:f>
              <c:strCache>
                <c:ptCount val="4"/>
                <c:pt idx="0">
                  <c:v>3 Idiots</c:v>
                </c:pt>
                <c:pt idx="1">
                  <c:v>Jawan</c:v>
                </c:pt>
                <c:pt idx="2">
                  <c:v>Pathan</c:v>
                </c:pt>
                <c:pt idx="3">
                  <c:v>Zindagi Na Milegi Dobara</c:v>
                </c:pt>
              </c:strCache>
            </c:strRef>
          </c:cat>
          <c:val>
            <c:numRef>
              <c:f>MoviePivot!$B$4:$B$8</c:f>
              <c:numCache>
                <c:formatCode>General</c:formatCode>
                <c:ptCount val="4"/>
                <c:pt idx="0">
                  <c:v>8.4</c:v>
                </c:pt>
                <c:pt idx="1">
                  <c:v>7.8</c:v>
                </c:pt>
                <c:pt idx="2">
                  <c:v>7.2</c:v>
                </c:pt>
                <c:pt idx="3">
                  <c:v>8.3000000000000007</c:v>
                </c:pt>
              </c:numCache>
            </c:numRef>
          </c:val>
          <c:extLst>
            <c:ext xmlns:c16="http://schemas.microsoft.com/office/drawing/2014/chart" uri="{C3380CC4-5D6E-409C-BE32-E72D297353CC}">
              <c16:uniqueId val="{00000014-5C40-46F1-A3A8-D3CB446BBD72}"/>
            </c:ext>
          </c:extLst>
        </c:ser>
        <c:ser>
          <c:idx val="1"/>
          <c:order val="1"/>
          <c:tx>
            <c:strRef>
              <c:f>MoviePivot!$C$3</c:f>
              <c:strCache>
                <c:ptCount val="1"/>
                <c:pt idx="0">
                  <c:v>Sum of Duration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5C40-46F1-A3A8-D3CB446BBD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5C40-46F1-A3A8-D3CB446BBD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5C40-46F1-A3A8-D3CB446BBD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5C40-46F1-A3A8-D3CB446BBD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5C40-46F1-A3A8-D3CB446BBD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5C40-46F1-A3A8-D3CB446BBD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5C40-46F1-A3A8-D3CB446BBD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5C40-46F1-A3A8-D3CB446BBD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5C40-46F1-A3A8-D3CB446BBD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5C40-46F1-A3A8-D3CB446BBD72}"/>
              </c:ext>
            </c:extLst>
          </c:dPt>
          <c:cat>
            <c:strRef>
              <c:f>MoviePivot!$A$4:$A$8</c:f>
              <c:strCache>
                <c:ptCount val="4"/>
                <c:pt idx="0">
                  <c:v>3 Idiots</c:v>
                </c:pt>
                <c:pt idx="1">
                  <c:v>Jawan</c:v>
                </c:pt>
                <c:pt idx="2">
                  <c:v>Pathan</c:v>
                </c:pt>
                <c:pt idx="3">
                  <c:v>Zindagi Na Milegi Dobara</c:v>
                </c:pt>
              </c:strCache>
            </c:strRef>
          </c:cat>
          <c:val>
            <c:numRef>
              <c:f>MoviePivot!$C$4:$C$8</c:f>
              <c:numCache>
                <c:formatCode>General</c:formatCode>
                <c:ptCount val="4"/>
                <c:pt idx="0">
                  <c:v>171</c:v>
                </c:pt>
                <c:pt idx="1">
                  <c:v>169</c:v>
                </c:pt>
                <c:pt idx="2">
                  <c:v>146</c:v>
                </c:pt>
                <c:pt idx="3">
                  <c:v>155</c:v>
                </c:pt>
              </c:numCache>
            </c:numRef>
          </c:val>
          <c:extLst>
            <c:ext xmlns:c16="http://schemas.microsoft.com/office/drawing/2014/chart" uri="{C3380CC4-5D6E-409C-BE32-E72D297353CC}">
              <c16:uniqueId val="{00000029-5C40-46F1-A3A8-D3CB446BB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500530702761302"/>
          <c:y val="0.22348795694389353"/>
          <c:w val="0.36679097908030156"/>
          <c:h val="0.654792800136662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[BookSmart.xlsx]MoviePivot!PivotTable16</c:name>
    <c:fmtId val="2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MoviePivot!$H$3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9F-4A29-8E06-E527181CA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9F-4A29-8E06-E527181CA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9F-4A29-8E06-E527181CA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9F-4A29-8E06-E527181CA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9F-4A29-8E06-E527181CAD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9F-4A29-8E06-E527181CAD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9F-4A29-8E06-E527181CAD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9F-4A29-8E06-E527181CAD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9F-4A29-8E06-E527181CAD54}"/>
              </c:ext>
            </c:extLst>
          </c:dPt>
          <c:cat>
            <c:strRef>
              <c:f>MoviePivot!$G$4:$G$8</c:f>
              <c:strCache>
                <c:ptCount val="4"/>
                <c:pt idx="0">
                  <c:v>146</c:v>
                </c:pt>
                <c:pt idx="1">
                  <c:v>155</c:v>
                </c:pt>
                <c:pt idx="2">
                  <c:v>169</c:v>
                </c:pt>
                <c:pt idx="3">
                  <c:v>171</c:v>
                </c:pt>
              </c:strCache>
            </c:strRef>
          </c:cat>
          <c:val>
            <c:numRef>
              <c:f>MoviePivot!$H$4:$H$8</c:f>
              <c:numCache>
                <c:formatCode>General</c:formatCode>
                <c:ptCount val="4"/>
                <c:pt idx="0">
                  <c:v>7.2</c:v>
                </c:pt>
                <c:pt idx="1">
                  <c:v>8.3000000000000007</c:v>
                </c:pt>
                <c:pt idx="2">
                  <c:v>7.8</c:v>
                </c:pt>
                <c:pt idx="3">
                  <c:v>8.4</c:v>
                </c:pt>
              </c:numCache>
            </c:numRef>
          </c:val>
          <c:extLst>
            <c:ext xmlns:c16="http://schemas.microsoft.com/office/drawing/2014/chart" uri="{C3380CC4-5D6E-409C-BE32-E72D297353CC}">
              <c16:uniqueId val="{00000012-E39F-4A29-8E06-E527181CAD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[BookSmart.xlsx]MoviePivot!PivotTable3</c:name>
    <c:fmtId val="1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MoviePivot!$B$17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94-48A1-9482-B4CF9FB0A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94-48A1-9482-B4CF9FB0A7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94-48A1-9482-B4CF9FB0A7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94-48A1-9482-B4CF9FB0A7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94-48A1-9482-B4CF9FB0A7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94-48A1-9482-B4CF9FB0A75A}"/>
              </c:ext>
            </c:extLst>
          </c:dPt>
          <c:cat>
            <c:strRef>
              <c:f>MoviePivot!$A$18:$A$21</c:f>
              <c:strCache>
                <c:ptCount val="3"/>
                <c:pt idx="0">
                  <c:v>Action</c:v>
                </c:pt>
                <c:pt idx="1">
                  <c:v>Comedy</c:v>
                </c:pt>
                <c:pt idx="2">
                  <c:v>Drama</c:v>
                </c:pt>
              </c:strCache>
            </c:strRef>
          </c:cat>
          <c:val>
            <c:numRef>
              <c:f>MoviePivot!$B$18:$B$21</c:f>
              <c:numCache>
                <c:formatCode>General</c:formatCode>
                <c:ptCount val="3"/>
                <c:pt idx="0">
                  <c:v>15</c:v>
                </c:pt>
                <c:pt idx="1">
                  <c:v>8.4</c:v>
                </c:pt>
                <c:pt idx="2">
                  <c:v>8.3000000000000007</c:v>
                </c:pt>
              </c:numCache>
            </c:numRef>
          </c:val>
          <c:extLst>
            <c:ext xmlns:c16="http://schemas.microsoft.com/office/drawing/2014/chart" uri="{C3380CC4-5D6E-409C-BE32-E72D297353CC}">
              <c16:uniqueId val="{0000000C-1094-48A1-9482-B4CF9FB0A7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[BookSmart.xlsx]MoviePivot!PivotTable4</c:name>
    <c:fmtId val="14"/>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MoviePivot!$E$17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93-477E-960D-545C431D3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93-477E-960D-545C431D3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93-477E-960D-545C431D3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93-477E-960D-545C431D3D04}"/>
              </c:ext>
            </c:extLst>
          </c:dPt>
          <c:cat>
            <c:strRef>
              <c:f>MoviePivot!$D$18:$D$19</c:f>
              <c:strCache>
                <c:ptCount val="1"/>
                <c:pt idx="0">
                  <c:v>Hindi</c:v>
                </c:pt>
              </c:strCache>
            </c:strRef>
          </c:cat>
          <c:val>
            <c:numRef>
              <c:f>MoviePivot!$E$18:$E$19</c:f>
              <c:numCache>
                <c:formatCode>General</c:formatCode>
                <c:ptCount val="1"/>
                <c:pt idx="0">
                  <c:v>31.700000000000003</c:v>
                </c:pt>
              </c:numCache>
            </c:numRef>
          </c:val>
          <c:extLst>
            <c:ext xmlns:c16="http://schemas.microsoft.com/office/drawing/2014/chart" uri="{C3380CC4-5D6E-409C-BE32-E72D297353CC}">
              <c16:uniqueId val="{00000008-F393-477E-960D-545C431D3D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[BookSmart.xlsx]TheaterPivot!PivotTable18</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TheaterPivot!$B$2</c:f>
              <c:strCache>
                <c:ptCount val="1"/>
                <c:pt idx="0">
                  <c:v>Sum of Screens</c:v>
                </c:pt>
              </c:strCache>
            </c:strRef>
          </c:tx>
          <c:spPr>
            <a:solidFill>
              <a:schemeClr val="accent1"/>
            </a:solidFill>
            <a:ln>
              <a:noFill/>
            </a:ln>
            <a:effectLst/>
          </c:spPr>
          <c:invertIfNegative val="0"/>
          <c:cat>
            <c:strRef>
              <c:f>TheaterPivot!$A$3:$A$4</c:f>
              <c:strCache>
                <c:ptCount val="1"/>
                <c:pt idx="0">
                  <c:v>Miraj Plazza</c:v>
                </c:pt>
              </c:strCache>
            </c:strRef>
          </c:cat>
          <c:val>
            <c:numRef>
              <c:f>TheaterPivot!$B$3:$B$4</c:f>
              <c:numCache>
                <c:formatCode>General</c:formatCode>
                <c:ptCount val="1"/>
                <c:pt idx="0">
                  <c:v>2</c:v>
                </c:pt>
              </c:numCache>
            </c:numRef>
          </c:val>
          <c:extLst>
            <c:ext xmlns:c16="http://schemas.microsoft.com/office/drawing/2014/chart" uri="{C3380CC4-5D6E-409C-BE32-E72D297353CC}">
              <c16:uniqueId val="{00000000-4663-4C5F-8CA8-2E93F34413A2}"/>
            </c:ext>
          </c:extLst>
        </c:ser>
        <c:ser>
          <c:idx val="1"/>
          <c:order val="1"/>
          <c:tx>
            <c:strRef>
              <c:f>TheaterPivot!$C$2</c:f>
              <c:strCache>
                <c:ptCount val="1"/>
                <c:pt idx="0">
                  <c:v>Sum of Capacity</c:v>
                </c:pt>
              </c:strCache>
            </c:strRef>
          </c:tx>
          <c:spPr>
            <a:solidFill>
              <a:schemeClr val="accent2"/>
            </a:solidFill>
            <a:ln>
              <a:noFill/>
            </a:ln>
            <a:effectLst/>
          </c:spPr>
          <c:invertIfNegative val="0"/>
          <c:cat>
            <c:strRef>
              <c:f>TheaterPivot!$A$3:$A$4</c:f>
              <c:strCache>
                <c:ptCount val="1"/>
                <c:pt idx="0">
                  <c:v>Miraj Plazza</c:v>
                </c:pt>
              </c:strCache>
            </c:strRef>
          </c:cat>
          <c:val>
            <c:numRef>
              <c:f>TheaterPivot!$C$3:$C$4</c:f>
              <c:numCache>
                <c:formatCode>General</c:formatCode>
                <c:ptCount val="1"/>
                <c:pt idx="0">
                  <c:v>270</c:v>
                </c:pt>
              </c:numCache>
            </c:numRef>
          </c:val>
          <c:extLst>
            <c:ext xmlns:c16="http://schemas.microsoft.com/office/drawing/2014/chart" uri="{C3380CC4-5D6E-409C-BE32-E72D297353CC}">
              <c16:uniqueId val="{00000001-4663-4C5F-8CA8-2E93F34413A2}"/>
            </c:ext>
          </c:extLst>
        </c:ser>
        <c:dLbls>
          <c:showLegendKey val="0"/>
          <c:showVal val="0"/>
          <c:showCatName val="0"/>
          <c:showSerName val="0"/>
          <c:showPercent val="0"/>
          <c:showBubbleSize val="0"/>
        </c:dLbls>
        <c:gapWidth val="219"/>
        <c:overlap val="-27"/>
        <c:axId val="1568879807"/>
        <c:axId val="1568882719"/>
      </c:barChart>
      <c:catAx>
        <c:axId val="156887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8882719"/>
        <c:crosses val="autoZero"/>
        <c:auto val="1"/>
        <c:lblAlgn val="ctr"/>
        <c:lblOffset val="100"/>
        <c:noMultiLvlLbl val="0"/>
      </c:catAx>
      <c:valAx>
        <c:axId val="15688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887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[BookSmart.xlsx]TheaterPivot!PivotTable20</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TheaterPivot!$F$2</c:f>
              <c:strCache>
                <c:ptCount val="1"/>
                <c:pt idx="0">
                  <c:v>Count of Type</c:v>
                </c:pt>
              </c:strCache>
            </c:strRef>
          </c:tx>
          <c:spPr>
            <a:solidFill>
              <a:schemeClr val="accent1"/>
            </a:solidFill>
            <a:ln>
              <a:noFill/>
            </a:ln>
            <a:effectLst/>
          </c:spPr>
          <c:invertIfNegative val="0"/>
          <c:cat>
            <c:strRef>
              <c:f>TheaterPivot!$E$3:$E$4</c:f>
              <c:strCache>
                <c:ptCount val="1"/>
                <c:pt idx="0">
                  <c:v>Goregoan</c:v>
                </c:pt>
              </c:strCache>
            </c:strRef>
          </c:cat>
          <c:val>
            <c:numRef>
              <c:f>TheaterPivot!$F$3:$F$4</c:f>
              <c:numCache>
                <c:formatCode>General</c:formatCode>
                <c:ptCount val="1"/>
                <c:pt idx="0">
                  <c:v>1</c:v>
                </c:pt>
              </c:numCache>
            </c:numRef>
          </c:val>
          <c:extLst>
            <c:ext xmlns:c16="http://schemas.microsoft.com/office/drawing/2014/chart" uri="{C3380CC4-5D6E-409C-BE32-E72D297353CC}">
              <c16:uniqueId val="{00000000-AC78-49DC-A1B3-2FA3597798DD}"/>
            </c:ext>
          </c:extLst>
        </c:ser>
        <c:ser>
          <c:idx val="1"/>
          <c:order val="1"/>
          <c:tx>
            <c:strRef>
              <c:f>TheaterPivot!$G$2</c:f>
              <c:strCache>
                <c:ptCount val="1"/>
                <c:pt idx="0">
                  <c:v>Sum of Rating</c:v>
                </c:pt>
              </c:strCache>
            </c:strRef>
          </c:tx>
          <c:spPr>
            <a:solidFill>
              <a:schemeClr val="accent2"/>
            </a:solidFill>
            <a:ln>
              <a:noFill/>
            </a:ln>
            <a:effectLst/>
          </c:spPr>
          <c:invertIfNegative val="0"/>
          <c:cat>
            <c:strRef>
              <c:f>TheaterPivot!$E$3:$E$4</c:f>
              <c:strCache>
                <c:ptCount val="1"/>
                <c:pt idx="0">
                  <c:v>Goregoan</c:v>
                </c:pt>
              </c:strCache>
            </c:strRef>
          </c:cat>
          <c:val>
            <c:numRef>
              <c:f>TheaterPivot!$G$3:$G$4</c:f>
              <c:numCache>
                <c:formatCode>General</c:formatCode>
                <c:ptCount val="1"/>
                <c:pt idx="0">
                  <c:v>3.2</c:v>
                </c:pt>
              </c:numCache>
            </c:numRef>
          </c:val>
          <c:extLst>
            <c:ext xmlns:c16="http://schemas.microsoft.com/office/drawing/2014/chart" uri="{C3380CC4-5D6E-409C-BE32-E72D297353CC}">
              <c16:uniqueId val="{00000001-AC78-49DC-A1B3-2FA3597798DD}"/>
            </c:ext>
          </c:extLst>
        </c:ser>
        <c:dLbls>
          <c:showLegendKey val="0"/>
          <c:showVal val="0"/>
          <c:showCatName val="0"/>
          <c:showSerName val="0"/>
          <c:showPercent val="0"/>
          <c:showBubbleSize val="0"/>
        </c:dLbls>
        <c:gapWidth val="219"/>
        <c:overlap val="-27"/>
        <c:axId val="1495305087"/>
        <c:axId val="1495306751"/>
      </c:barChart>
      <c:catAx>
        <c:axId val="14953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95306751"/>
        <c:crosses val="autoZero"/>
        <c:auto val="1"/>
        <c:lblAlgn val="ctr"/>
        <c:lblOffset val="100"/>
        <c:noMultiLvlLbl val="0"/>
      </c:catAx>
      <c:valAx>
        <c:axId val="14953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9530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showspivot!$B$3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7B5-4551-A5E2-BFB35A063714}"/>
              </c:ext>
            </c:extLst>
          </c:dPt>
          <c:dPt>
            <c:idx val="1"/>
            <c:bubble3D val="0"/>
            <c:spPr>
              <a:solidFill>
                <a:schemeClr val="accent2"/>
              </a:solidFill>
              <a:ln>
                <a:noFill/>
              </a:ln>
              <a:effectLst/>
            </c:spPr>
            <c:extLst>
              <c:ext xmlns:c16="http://schemas.microsoft.com/office/drawing/2014/chart" uri="{C3380CC4-5D6E-409C-BE32-E72D297353CC}">
                <c16:uniqueId val="{00000003-37B5-4551-A5E2-BFB35A063714}"/>
              </c:ext>
            </c:extLst>
          </c:dPt>
          <c:dPt>
            <c:idx val="2"/>
            <c:bubble3D val="0"/>
            <c:spPr>
              <a:solidFill>
                <a:schemeClr val="accent3"/>
              </a:solidFill>
              <a:ln>
                <a:noFill/>
              </a:ln>
              <a:effectLst/>
            </c:spPr>
            <c:extLst>
              <c:ext xmlns:c16="http://schemas.microsoft.com/office/drawing/2014/chart" uri="{C3380CC4-5D6E-409C-BE32-E72D297353CC}">
                <c16:uniqueId val="{00000005-37B5-4551-A5E2-BFB35A063714}"/>
              </c:ext>
            </c:extLst>
          </c:dPt>
          <c:dPt>
            <c:idx val="3"/>
            <c:bubble3D val="0"/>
            <c:spPr>
              <a:solidFill>
                <a:schemeClr val="accent4"/>
              </a:solidFill>
              <a:ln>
                <a:noFill/>
              </a:ln>
              <a:effectLst/>
            </c:spPr>
            <c:extLst>
              <c:ext xmlns:c16="http://schemas.microsoft.com/office/drawing/2014/chart" uri="{C3380CC4-5D6E-409C-BE32-E72D297353CC}">
                <c16:uniqueId val="{00000007-37B5-4551-A5E2-BFB35A063714}"/>
              </c:ext>
            </c:extLst>
          </c:dPt>
          <c:dPt>
            <c:idx val="4"/>
            <c:bubble3D val="0"/>
            <c:spPr>
              <a:solidFill>
                <a:schemeClr val="accent5"/>
              </a:solidFill>
              <a:ln>
                <a:noFill/>
              </a:ln>
              <a:effectLst/>
            </c:spPr>
            <c:extLst>
              <c:ext xmlns:c16="http://schemas.microsoft.com/office/drawing/2014/chart" uri="{C3380CC4-5D6E-409C-BE32-E72D297353CC}">
                <c16:uniqueId val="{00000009-37B5-4551-A5E2-BFB35A063714}"/>
              </c:ext>
            </c:extLst>
          </c:dPt>
          <c:dPt>
            <c:idx val="5"/>
            <c:bubble3D val="0"/>
            <c:spPr>
              <a:solidFill>
                <a:schemeClr val="accent6"/>
              </a:solidFill>
              <a:ln>
                <a:noFill/>
              </a:ln>
              <a:effectLst/>
            </c:spPr>
            <c:extLst>
              <c:ext xmlns:c16="http://schemas.microsoft.com/office/drawing/2014/chart" uri="{C3380CC4-5D6E-409C-BE32-E72D297353CC}">
                <c16:uniqueId val="{0000000B-37B5-4551-A5E2-BFB35A06371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7B5-4551-A5E2-BFB35A06371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7B5-4551-A5E2-BFB35A06371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37B5-4551-A5E2-BFB35A06371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37B5-4551-A5E2-BFB35A063714}"/>
              </c:ext>
            </c:extLst>
          </c:dPt>
          <c:cat>
            <c:strRef>
              <c:f>showspivot!$A$4:$A$14</c:f>
              <c:strCache>
                <c:ptCount val="10"/>
                <c:pt idx="0">
                  <c:v>S101</c:v>
                </c:pt>
                <c:pt idx="1">
                  <c:v>S102</c:v>
                </c:pt>
                <c:pt idx="2">
                  <c:v>S103</c:v>
                </c:pt>
                <c:pt idx="3">
                  <c:v>S104</c:v>
                </c:pt>
                <c:pt idx="4">
                  <c:v>S105</c:v>
                </c:pt>
                <c:pt idx="5">
                  <c:v>S106</c:v>
                </c:pt>
                <c:pt idx="6">
                  <c:v>S107</c:v>
                </c:pt>
                <c:pt idx="7">
                  <c:v>S108</c:v>
                </c:pt>
                <c:pt idx="8">
                  <c:v>S109</c:v>
                </c:pt>
                <c:pt idx="9">
                  <c:v>S110</c:v>
                </c:pt>
              </c:strCache>
            </c:strRef>
          </c:cat>
          <c:val>
            <c:numRef>
              <c:f>showspivot!$B$4:$B$14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6011-4504-8308-C079AD6423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showspivot!$E$3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328-42BC-BB06-25155E41A172}"/>
              </c:ext>
            </c:extLst>
          </c:dPt>
          <c:dPt>
            <c:idx val="1"/>
            <c:bubble3D val="0"/>
            <c:spPr>
              <a:solidFill>
                <a:schemeClr val="accent2"/>
              </a:solidFill>
              <a:ln>
                <a:noFill/>
              </a:ln>
              <a:effectLst/>
            </c:spPr>
            <c:extLst>
              <c:ext xmlns:c16="http://schemas.microsoft.com/office/drawing/2014/chart" uri="{C3380CC4-5D6E-409C-BE32-E72D297353CC}">
                <c16:uniqueId val="{00000003-5328-42BC-BB06-25155E41A172}"/>
              </c:ext>
            </c:extLst>
          </c:dPt>
          <c:dPt>
            <c:idx val="2"/>
            <c:bubble3D val="0"/>
            <c:spPr>
              <a:solidFill>
                <a:schemeClr val="accent3"/>
              </a:solidFill>
              <a:ln>
                <a:noFill/>
              </a:ln>
              <a:effectLst/>
            </c:spPr>
            <c:extLst>
              <c:ext xmlns:c16="http://schemas.microsoft.com/office/drawing/2014/chart" uri="{C3380CC4-5D6E-409C-BE32-E72D297353CC}">
                <c16:uniqueId val="{00000005-5328-42BC-BB06-25155E41A172}"/>
              </c:ext>
            </c:extLst>
          </c:dPt>
          <c:dPt>
            <c:idx val="3"/>
            <c:bubble3D val="0"/>
            <c:spPr>
              <a:solidFill>
                <a:schemeClr val="accent4"/>
              </a:solidFill>
              <a:ln>
                <a:noFill/>
              </a:ln>
              <a:effectLst/>
            </c:spPr>
            <c:extLst>
              <c:ext xmlns:c16="http://schemas.microsoft.com/office/drawing/2014/chart" uri="{C3380CC4-5D6E-409C-BE32-E72D297353CC}">
                <c16:uniqueId val="{00000007-5328-42BC-BB06-25155E41A172}"/>
              </c:ext>
            </c:extLst>
          </c:dPt>
          <c:dPt>
            <c:idx val="4"/>
            <c:bubble3D val="0"/>
            <c:spPr>
              <a:solidFill>
                <a:schemeClr val="accent5"/>
              </a:solidFill>
              <a:ln>
                <a:noFill/>
              </a:ln>
              <a:effectLst/>
            </c:spPr>
            <c:extLst>
              <c:ext xmlns:c16="http://schemas.microsoft.com/office/drawing/2014/chart" uri="{C3380CC4-5D6E-409C-BE32-E72D297353CC}">
                <c16:uniqueId val="{00000009-5328-42BC-BB06-25155E41A172}"/>
              </c:ext>
            </c:extLst>
          </c:dPt>
          <c:dPt>
            <c:idx val="5"/>
            <c:bubble3D val="0"/>
            <c:spPr>
              <a:solidFill>
                <a:schemeClr val="accent6"/>
              </a:solidFill>
              <a:ln>
                <a:noFill/>
              </a:ln>
              <a:effectLst/>
            </c:spPr>
            <c:extLst>
              <c:ext xmlns:c16="http://schemas.microsoft.com/office/drawing/2014/chart" uri="{C3380CC4-5D6E-409C-BE32-E72D297353CC}">
                <c16:uniqueId val="{0000000B-5328-42BC-BB06-25155E41A17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328-42BC-BB06-25155E41A17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328-42BC-BB06-25155E41A17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328-42BC-BB06-25155E41A17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328-42BC-BB06-25155E41A172}"/>
              </c:ext>
            </c:extLst>
          </c:dPt>
          <c:cat>
            <c:strRef>
              <c:f>showspivot!$D$4:$D$14</c:f>
              <c:strCache>
                <c:ptCount val="10"/>
                <c:pt idx="0">
                  <c:v>M101</c:v>
                </c:pt>
                <c:pt idx="1">
                  <c:v>M102</c:v>
                </c:pt>
                <c:pt idx="2">
                  <c:v>M103</c:v>
                </c:pt>
                <c:pt idx="3">
                  <c:v>M104</c:v>
                </c:pt>
                <c:pt idx="4">
                  <c:v>M105</c:v>
                </c:pt>
                <c:pt idx="5">
                  <c:v>M106</c:v>
                </c:pt>
                <c:pt idx="6">
                  <c:v>M107</c:v>
                </c:pt>
                <c:pt idx="7">
                  <c:v>M108</c:v>
                </c:pt>
                <c:pt idx="8">
                  <c:v>M109</c:v>
                </c:pt>
                <c:pt idx="9">
                  <c:v>M110</c:v>
                </c:pt>
              </c:strCache>
            </c:strRef>
          </c:cat>
          <c:val>
            <c:numRef>
              <c:f>showspivot!$E$4:$E$14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6561-409D-B549-3D4AA604B77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showspivot!$H$8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DD2-468B-AE95-C74B5BE9C524}"/>
              </c:ext>
            </c:extLst>
          </c:dPt>
          <c:dPt>
            <c:idx val="1"/>
            <c:bubble3D val="0"/>
            <c:spPr>
              <a:solidFill>
                <a:schemeClr val="accent2"/>
              </a:solidFill>
              <a:ln>
                <a:noFill/>
              </a:ln>
              <a:effectLst/>
            </c:spPr>
            <c:extLst>
              <c:ext xmlns:c16="http://schemas.microsoft.com/office/drawing/2014/chart" uri="{C3380CC4-5D6E-409C-BE32-E72D297353CC}">
                <c16:uniqueId val="{00000003-4DD2-468B-AE95-C74B5BE9C524}"/>
              </c:ext>
            </c:extLst>
          </c:dPt>
          <c:dPt>
            <c:idx val="2"/>
            <c:bubble3D val="0"/>
            <c:spPr>
              <a:solidFill>
                <a:schemeClr val="accent3"/>
              </a:solidFill>
              <a:ln>
                <a:noFill/>
              </a:ln>
              <a:effectLst/>
            </c:spPr>
            <c:extLst>
              <c:ext xmlns:c16="http://schemas.microsoft.com/office/drawing/2014/chart" uri="{C3380CC4-5D6E-409C-BE32-E72D297353CC}">
                <c16:uniqueId val="{00000005-4DD2-468B-AE95-C74B5BE9C524}"/>
              </c:ext>
            </c:extLst>
          </c:dPt>
          <c:dPt>
            <c:idx val="3"/>
            <c:bubble3D val="0"/>
            <c:spPr>
              <a:solidFill>
                <a:schemeClr val="accent4"/>
              </a:solidFill>
              <a:ln>
                <a:noFill/>
              </a:ln>
              <a:effectLst/>
            </c:spPr>
            <c:extLst>
              <c:ext xmlns:c16="http://schemas.microsoft.com/office/drawing/2014/chart" uri="{C3380CC4-5D6E-409C-BE32-E72D297353CC}">
                <c16:uniqueId val="{00000007-4DD2-468B-AE95-C74B5BE9C524}"/>
              </c:ext>
            </c:extLst>
          </c:dPt>
          <c:dPt>
            <c:idx val="4"/>
            <c:bubble3D val="0"/>
            <c:spPr>
              <a:solidFill>
                <a:schemeClr val="accent5"/>
              </a:solidFill>
              <a:ln>
                <a:noFill/>
              </a:ln>
              <a:effectLst/>
            </c:spPr>
            <c:extLst>
              <c:ext xmlns:c16="http://schemas.microsoft.com/office/drawing/2014/chart" uri="{C3380CC4-5D6E-409C-BE32-E72D297353CC}">
                <c16:uniqueId val="{00000009-4DD2-468B-AE95-C74B5BE9C524}"/>
              </c:ext>
            </c:extLst>
          </c:dPt>
          <c:dPt>
            <c:idx val="5"/>
            <c:bubble3D val="0"/>
            <c:spPr>
              <a:solidFill>
                <a:schemeClr val="accent6"/>
              </a:solidFill>
              <a:ln>
                <a:noFill/>
              </a:ln>
              <a:effectLst/>
            </c:spPr>
            <c:extLst>
              <c:ext xmlns:c16="http://schemas.microsoft.com/office/drawing/2014/chart" uri="{C3380CC4-5D6E-409C-BE32-E72D297353CC}">
                <c16:uniqueId val="{0000000B-4DD2-468B-AE95-C74B5BE9C52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DD2-468B-AE95-C74B5BE9C52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DD2-468B-AE95-C74B5BE9C52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DD2-468B-AE95-C74B5BE9C52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DD2-468B-AE95-C74B5BE9C524}"/>
              </c:ext>
            </c:extLst>
          </c:dPt>
          <c:cat>
            <c:strRef>
              <c:f>showspivot!$G$9:$G$19</c:f>
              <c:strCache>
                <c:ptCount val="10"/>
                <c:pt idx="0">
                  <c:v>T01</c:v>
                </c:pt>
                <c:pt idx="1">
                  <c:v>T02</c:v>
                </c:pt>
                <c:pt idx="2">
                  <c:v>T03</c:v>
                </c:pt>
                <c:pt idx="3">
                  <c:v>T04</c:v>
                </c:pt>
                <c:pt idx="4">
                  <c:v>T05</c:v>
                </c:pt>
                <c:pt idx="5">
                  <c:v>T06</c:v>
                </c:pt>
                <c:pt idx="6">
                  <c:v>T07</c:v>
                </c:pt>
                <c:pt idx="7">
                  <c:v>T08</c:v>
                </c:pt>
                <c:pt idx="8">
                  <c:v>T09</c:v>
                </c:pt>
                <c:pt idx="9">
                  <c:v>T10</c:v>
                </c:pt>
              </c:strCache>
            </c:strRef>
          </c:cat>
          <c:val>
            <c:numRef>
              <c:f>showspivot!$H$9:$H$19</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7383-4537-BE6D-C99D9093A41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showspivot!$H$3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210-4119-9B9A-C73E7FD23F5A}"/>
              </c:ext>
            </c:extLst>
          </c:dPt>
          <c:dPt>
            <c:idx val="1"/>
            <c:bubble3D val="0"/>
            <c:spPr>
              <a:solidFill>
                <a:schemeClr val="accent2"/>
              </a:solidFill>
              <a:ln>
                <a:noFill/>
              </a:ln>
              <a:effectLst/>
            </c:spPr>
            <c:extLst>
              <c:ext xmlns:c16="http://schemas.microsoft.com/office/drawing/2014/chart" uri="{C3380CC4-5D6E-409C-BE32-E72D297353CC}">
                <c16:uniqueId val="{00000003-7210-4119-9B9A-C73E7FD23F5A}"/>
              </c:ext>
            </c:extLst>
          </c:dPt>
          <c:cat>
            <c:strRef>
              <c:f>showspivot!$G$4:$G$6</c:f>
              <c:strCache>
                <c:ptCount val="2"/>
                <c:pt idx="0">
                  <c:v>Oct</c:v>
                </c:pt>
                <c:pt idx="1">
                  <c:v>Nov</c:v>
                </c:pt>
              </c:strCache>
            </c:strRef>
          </c:cat>
          <c:val>
            <c:numRef>
              <c:f>showspivot!$H$4:$H$6</c:f>
              <c:numCache>
                <c:formatCode>General</c:formatCode>
                <c:ptCount val="2"/>
                <c:pt idx="0">
                  <c:v>2</c:v>
                </c:pt>
                <c:pt idx="1">
                  <c:v>8</c:v>
                </c:pt>
              </c:numCache>
            </c:numRef>
          </c:val>
          <c:extLst>
            <c:ext xmlns:c16="http://schemas.microsoft.com/office/drawing/2014/chart" uri="{C3380CC4-5D6E-409C-BE32-E72D297353CC}">
              <c16:uniqueId val="{00000000-0341-46F8-974C-74C521ED468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[BookSmart.xlsx]bookingpivot!PivotTable1</c:name>
    <c:fmtId val="5"/>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bookingpivot!$B$3</c:f>
              <c:strCache>
                <c:ptCount val="1"/>
                <c:pt idx="0">
                  <c:v>Sum of Ticket_Price</c:v>
                </c:pt>
              </c:strCache>
            </c:strRef>
          </c:tx>
          <c:spPr>
            <a:solidFill>
              <a:schemeClr val="accent1"/>
            </a:solidFill>
            <a:ln>
              <a:noFill/>
            </a:ln>
            <a:effectLst/>
            <a:sp3d/>
          </c:spPr>
          <c:invertIfNegative val="0"/>
          <c:cat>
            <c:strRef>
              <c:f>bookingpivot!$A$4:$A$14</c:f>
              <c:strCache>
                <c:ptCount val="10"/>
                <c:pt idx="0">
                  <c:v>Aman</c:v>
                </c:pt>
                <c:pt idx="1">
                  <c:v>Arav</c:v>
                </c:pt>
                <c:pt idx="2">
                  <c:v>Karan</c:v>
                </c:pt>
                <c:pt idx="3">
                  <c:v>Mohit</c:v>
                </c:pt>
                <c:pt idx="4">
                  <c:v>Neha</c:v>
                </c:pt>
                <c:pt idx="5">
                  <c:v>Priya</c:v>
                </c:pt>
                <c:pt idx="6">
                  <c:v>Riya</c:v>
                </c:pt>
                <c:pt idx="7">
                  <c:v>Sara</c:v>
                </c:pt>
                <c:pt idx="8">
                  <c:v>Shubham</c:v>
                </c:pt>
                <c:pt idx="9">
                  <c:v>Tanvi</c:v>
                </c:pt>
              </c:strCache>
            </c:strRef>
          </c:cat>
          <c:val>
            <c:numRef>
              <c:f>bookingpivot!$B$4:$B$14</c:f>
              <c:numCache>
                <c:formatCode>General</c:formatCode>
                <c:ptCount val="10"/>
                <c:pt idx="0">
                  <c:v>300</c:v>
                </c:pt>
                <c:pt idx="1">
                  <c:v>250</c:v>
                </c:pt>
                <c:pt idx="2">
                  <c:v>200</c:v>
                </c:pt>
                <c:pt idx="3">
                  <c:v>300</c:v>
                </c:pt>
                <c:pt idx="4">
                  <c:v>190</c:v>
                </c:pt>
                <c:pt idx="5">
                  <c:v>250</c:v>
                </c:pt>
                <c:pt idx="6">
                  <c:v>250</c:v>
                </c:pt>
                <c:pt idx="7">
                  <c:v>200</c:v>
                </c:pt>
                <c:pt idx="8">
                  <c:v>230</c:v>
                </c:pt>
                <c:pt idx="9">
                  <c:v>250</c:v>
                </c:pt>
              </c:numCache>
            </c:numRef>
          </c:val>
          <c:extLst>
            <c:ext xmlns:c16="http://schemas.microsoft.com/office/drawing/2014/chart" uri="{C3380CC4-5D6E-409C-BE32-E72D297353CC}">
              <c16:uniqueId val="{00000000-6C8D-422D-98EC-2F580D926D2F}"/>
            </c:ext>
          </c:extLst>
        </c:ser>
        <c:ser>
          <c:idx val="1"/>
          <c:order val="1"/>
          <c:tx>
            <c:strRef>
              <c:f>bookingpivot!$C$3</c:f>
              <c:strCache>
                <c:ptCount val="1"/>
                <c:pt idx="0">
                  <c:v>Sum of Tickets_Booked</c:v>
                </c:pt>
              </c:strCache>
            </c:strRef>
          </c:tx>
          <c:spPr>
            <a:solidFill>
              <a:schemeClr val="accent2"/>
            </a:solidFill>
            <a:ln>
              <a:noFill/>
            </a:ln>
            <a:effectLst/>
            <a:sp3d/>
          </c:spPr>
          <c:invertIfNegative val="0"/>
          <c:cat>
            <c:strRef>
              <c:f>bookingpivot!$A$4:$A$14</c:f>
              <c:strCache>
                <c:ptCount val="10"/>
                <c:pt idx="0">
                  <c:v>Aman</c:v>
                </c:pt>
                <c:pt idx="1">
                  <c:v>Arav</c:v>
                </c:pt>
                <c:pt idx="2">
                  <c:v>Karan</c:v>
                </c:pt>
                <c:pt idx="3">
                  <c:v>Mohit</c:v>
                </c:pt>
                <c:pt idx="4">
                  <c:v>Neha</c:v>
                </c:pt>
                <c:pt idx="5">
                  <c:v>Priya</c:v>
                </c:pt>
                <c:pt idx="6">
                  <c:v>Riya</c:v>
                </c:pt>
                <c:pt idx="7">
                  <c:v>Sara</c:v>
                </c:pt>
                <c:pt idx="8">
                  <c:v>Shubham</c:v>
                </c:pt>
                <c:pt idx="9">
                  <c:v>Tanvi</c:v>
                </c:pt>
              </c:strCache>
            </c:strRef>
          </c:cat>
          <c:val>
            <c:numRef>
              <c:f>bookingpivot!$C$4:$C$14</c:f>
              <c:numCache>
                <c:formatCode>General</c:formatCode>
                <c:ptCount val="10"/>
                <c:pt idx="0">
                  <c:v>3</c:v>
                </c:pt>
                <c:pt idx="1">
                  <c:v>1</c:v>
                </c:pt>
                <c:pt idx="2">
                  <c:v>2</c:v>
                </c:pt>
                <c:pt idx="3">
                  <c:v>7</c:v>
                </c:pt>
                <c:pt idx="4">
                  <c:v>5</c:v>
                </c:pt>
                <c:pt idx="5">
                  <c:v>4</c:v>
                </c:pt>
                <c:pt idx="6">
                  <c:v>3</c:v>
                </c:pt>
                <c:pt idx="7">
                  <c:v>4</c:v>
                </c:pt>
                <c:pt idx="8">
                  <c:v>5</c:v>
                </c:pt>
                <c:pt idx="9">
                  <c:v>5</c:v>
                </c:pt>
              </c:numCache>
            </c:numRef>
          </c:val>
          <c:extLst>
            <c:ext xmlns:c16="http://schemas.microsoft.com/office/drawing/2014/chart" uri="{C3380CC4-5D6E-409C-BE32-E72D297353CC}">
              <c16:uniqueId val="{00000001-6C8D-422D-98EC-2F580D926D2F}"/>
            </c:ext>
          </c:extLst>
        </c:ser>
        <c:dLbls>
          <c:showLegendKey val="0"/>
          <c:showVal val="0"/>
          <c:showCatName val="0"/>
          <c:showSerName val="0"/>
          <c:showPercent val="0"/>
          <c:showBubbleSize val="0"/>
        </c:dLbls>
        <c:gapWidth val="150"/>
        <c:shape val="box"/>
        <c:axId val="1273443200"/>
        <c:axId val="1273450688"/>
        <c:axId val="0"/>
      </c:bar3DChart>
      <c:catAx>
        <c:axId val="127344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50688"/>
        <c:crosses val="autoZero"/>
        <c:auto val="1"/>
        <c:lblAlgn val="ctr"/>
        <c:lblOffset val="100"/>
        <c:noMultiLvlLbl val="0"/>
      </c:catAx>
      <c:valAx>
        <c:axId val="12734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[BookSmart.xlsx]bookingpivot!PivotTable2</c:name>
    <c:fmtId val="5"/>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bookingpivot!$F$3</c:f>
              <c:strCache>
                <c:ptCount val="1"/>
                <c:pt idx="0">
                  <c:v>Sum of Ticket_Price</c:v>
                </c:pt>
              </c:strCache>
            </c:strRef>
          </c:tx>
          <c:spPr>
            <a:solidFill>
              <a:schemeClr val="accent1"/>
            </a:solidFill>
            <a:ln>
              <a:noFill/>
            </a:ln>
            <a:effectLst/>
            <a:sp3d/>
          </c:spPr>
          <c:invertIfNegative val="0"/>
          <c:cat>
            <c:strRef>
              <c:f>bookingpivot!$E$4:$E$14</c:f>
              <c:strCache>
                <c:ptCount val="10"/>
                <c:pt idx="0">
                  <c:v>30-Oct</c:v>
                </c:pt>
                <c:pt idx="1">
                  <c:v>31-Oct</c:v>
                </c:pt>
                <c:pt idx="2">
                  <c:v>1-Nov</c:v>
                </c:pt>
                <c:pt idx="3">
                  <c:v>2-Nov</c:v>
                </c:pt>
                <c:pt idx="4">
                  <c:v>3-Nov</c:v>
                </c:pt>
                <c:pt idx="5">
                  <c:v>4-Nov</c:v>
                </c:pt>
                <c:pt idx="6">
                  <c:v>5-Nov</c:v>
                </c:pt>
                <c:pt idx="7">
                  <c:v>6-Nov</c:v>
                </c:pt>
                <c:pt idx="8">
                  <c:v>7-Nov</c:v>
                </c:pt>
                <c:pt idx="9">
                  <c:v>8-Nov</c:v>
                </c:pt>
              </c:strCache>
            </c:strRef>
          </c:cat>
          <c:val>
            <c:numRef>
              <c:f>bookingpivot!$F$4:$F$14</c:f>
              <c:numCache>
                <c:formatCode>General</c:formatCode>
                <c:ptCount val="10"/>
                <c:pt idx="0">
                  <c:v>250</c:v>
                </c:pt>
                <c:pt idx="1">
                  <c:v>200</c:v>
                </c:pt>
                <c:pt idx="2">
                  <c:v>230</c:v>
                </c:pt>
                <c:pt idx="3">
                  <c:v>250</c:v>
                </c:pt>
                <c:pt idx="4">
                  <c:v>300</c:v>
                </c:pt>
                <c:pt idx="5">
                  <c:v>190</c:v>
                </c:pt>
                <c:pt idx="6">
                  <c:v>250</c:v>
                </c:pt>
                <c:pt idx="7">
                  <c:v>200</c:v>
                </c:pt>
                <c:pt idx="8">
                  <c:v>250</c:v>
                </c:pt>
                <c:pt idx="9">
                  <c:v>300</c:v>
                </c:pt>
              </c:numCache>
            </c:numRef>
          </c:val>
          <c:extLst>
            <c:ext xmlns:c16="http://schemas.microsoft.com/office/drawing/2014/chart" uri="{C3380CC4-5D6E-409C-BE32-E72D297353CC}">
              <c16:uniqueId val="{00000000-F9AB-43AE-A965-B7A1F40F9E0B}"/>
            </c:ext>
          </c:extLst>
        </c:ser>
        <c:ser>
          <c:idx val="1"/>
          <c:order val="1"/>
          <c:tx>
            <c:strRef>
              <c:f>bookingpivot!$G$3</c:f>
              <c:strCache>
                <c:ptCount val="1"/>
                <c:pt idx="0">
                  <c:v>Sum of Tickets_Booked</c:v>
                </c:pt>
              </c:strCache>
            </c:strRef>
          </c:tx>
          <c:spPr>
            <a:solidFill>
              <a:schemeClr val="accent2"/>
            </a:solidFill>
            <a:ln>
              <a:noFill/>
            </a:ln>
            <a:effectLst/>
            <a:sp3d/>
          </c:spPr>
          <c:invertIfNegative val="0"/>
          <c:cat>
            <c:strRef>
              <c:f>bookingpivot!$E$4:$E$14</c:f>
              <c:strCache>
                <c:ptCount val="10"/>
                <c:pt idx="0">
                  <c:v>30-Oct</c:v>
                </c:pt>
                <c:pt idx="1">
                  <c:v>31-Oct</c:v>
                </c:pt>
                <c:pt idx="2">
                  <c:v>1-Nov</c:v>
                </c:pt>
                <c:pt idx="3">
                  <c:v>2-Nov</c:v>
                </c:pt>
                <c:pt idx="4">
                  <c:v>3-Nov</c:v>
                </c:pt>
                <c:pt idx="5">
                  <c:v>4-Nov</c:v>
                </c:pt>
                <c:pt idx="6">
                  <c:v>5-Nov</c:v>
                </c:pt>
                <c:pt idx="7">
                  <c:v>6-Nov</c:v>
                </c:pt>
                <c:pt idx="8">
                  <c:v>7-Nov</c:v>
                </c:pt>
                <c:pt idx="9">
                  <c:v>8-Nov</c:v>
                </c:pt>
              </c:strCache>
            </c:strRef>
          </c:cat>
          <c:val>
            <c:numRef>
              <c:f>bookingpivot!$G$4:$G$14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1-F9AB-43AE-A965-B7A1F40F9E0B}"/>
            </c:ext>
          </c:extLst>
        </c:ser>
        <c:dLbls>
          <c:showLegendKey val="0"/>
          <c:showVal val="0"/>
          <c:showCatName val="0"/>
          <c:showSerName val="0"/>
          <c:showPercent val="0"/>
          <c:showBubbleSize val="0"/>
        </c:dLbls>
        <c:gapWidth val="150"/>
        <c:shape val="box"/>
        <c:axId val="1284510240"/>
        <c:axId val="1284499008"/>
        <c:axId val="0"/>
      </c:bar3DChart>
      <c:catAx>
        <c:axId val="128451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9008"/>
        <c:crosses val="autoZero"/>
        <c:auto val="1"/>
        <c:lblAlgn val="ctr"/>
        <c:lblOffset val="100"/>
        <c:noMultiLvlLbl val="0"/>
      </c:catAx>
      <c:valAx>
        <c:axId val="128449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51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bookingpivot!$J$3</c:f>
              <c:strCache>
                <c:ptCount val="1"/>
                <c:pt idx="0">
                  <c:v>Total</c:v>
                </c:pt>
              </c:strCache>
            </c:strRef>
          </c:tx>
          <c:spPr>
            <a:solidFill>
              <a:schemeClr val="accent1"/>
            </a:solidFill>
            <a:ln>
              <a:noFill/>
            </a:ln>
            <a:effectLst/>
            <a:sp3d/>
          </c:spPr>
          <c:invertIfNegative val="0"/>
          <c:cat>
            <c:strRef>
              <c:f>bookingpivot!$I$4:$I$14</c:f>
              <c:strCache>
                <c:ptCount val="10"/>
                <c:pt idx="0">
                  <c:v>B001</c:v>
                </c:pt>
                <c:pt idx="1">
                  <c:v>B002</c:v>
                </c:pt>
                <c:pt idx="2">
                  <c:v>B003</c:v>
                </c:pt>
                <c:pt idx="3">
                  <c:v>B004</c:v>
                </c:pt>
                <c:pt idx="4">
                  <c:v>B005</c:v>
                </c:pt>
                <c:pt idx="5">
                  <c:v>B006</c:v>
                </c:pt>
                <c:pt idx="6">
                  <c:v>B007</c:v>
                </c:pt>
                <c:pt idx="7">
                  <c:v>B008</c:v>
                </c:pt>
                <c:pt idx="8">
                  <c:v>B009</c:v>
                </c:pt>
                <c:pt idx="9">
                  <c:v>B010</c:v>
                </c:pt>
              </c:strCache>
            </c:strRef>
          </c:cat>
          <c:val>
            <c:numRef>
              <c:f>bookingpivot!$J$4:$J$14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0-D315-4148-BE73-F6EE09D95823}"/>
            </c:ext>
          </c:extLst>
        </c:ser>
        <c:dLbls>
          <c:showLegendKey val="0"/>
          <c:showVal val="0"/>
          <c:showCatName val="0"/>
          <c:showSerName val="0"/>
          <c:showPercent val="0"/>
          <c:showBubbleSize val="0"/>
        </c:dLbls>
        <c:gapWidth val="150"/>
        <c:shape val="box"/>
        <c:axId val="1284497344"/>
        <c:axId val="1284496928"/>
        <c:axId val="0"/>
      </c:bar3DChart>
      <c:catAx>
        <c:axId val="128449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6928"/>
        <c:crosses val="autoZero"/>
        <c:auto val="1"/>
        <c:lblAlgn val="ctr"/>
        <c:lblOffset val="100"/>
        <c:noMultiLvlLbl val="0"/>
      </c:catAx>
      <c:valAx>
        <c:axId val="12844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bookingpivot!$M$3</c:f>
              <c:strCache>
                <c:ptCount val="1"/>
                <c:pt idx="0">
                  <c:v>Total</c:v>
                </c:pt>
              </c:strCache>
            </c:strRef>
          </c:tx>
          <c:spPr>
            <a:solidFill>
              <a:schemeClr val="accent1"/>
            </a:solidFill>
            <a:ln>
              <a:noFill/>
            </a:ln>
            <a:effectLst/>
            <a:sp3d/>
          </c:spPr>
          <c:invertIfNegative val="0"/>
          <c:cat>
            <c:strRef>
              <c:f>bookingpivot!$L$4:$L$14</c:f>
              <c:strCache>
                <c:ptCount val="10"/>
                <c:pt idx="0">
                  <c:v>S101</c:v>
                </c:pt>
                <c:pt idx="1">
                  <c:v>S102</c:v>
                </c:pt>
                <c:pt idx="2">
                  <c:v>S103</c:v>
                </c:pt>
                <c:pt idx="3">
                  <c:v>S104</c:v>
                </c:pt>
                <c:pt idx="4">
                  <c:v>S105</c:v>
                </c:pt>
                <c:pt idx="5">
                  <c:v>S106</c:v>
                </c:pt>
                <c:pt idx="6">
                  <c:v>S107</c:v>
                </c:pt>
                <c:pt idx="7">
                  <c:v>S108</c:v>
                </c:pt>
                <c:pt idx="8">
                  <c:v>S109</c:v>
                </c:pt>
                <c:pt idx="9">
                  <c:v>S110</c:v>
                </c:pt>
              </c:strCache>
            </c:strRef>
          </c:cat>
          <c:val>
            <c:numRef>
              <c:f>bookingpivot!$M$4:$M$14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0-45AB-4D4A-A63F-0169DAC8E252}"/>
            </c:ext>
          </c:extLst>
        </c:ser>
        <c:dLbls>
          <c:showLegendKey val="0"/>
          <c:showVal val="0"/>
          <c:showCatName val="0"/>
          <c:showSerName val="0"/>
          <c:showPercent val="0"/>
          <c:showBubbleSize val="0"/>
        </c:dLbls>
        <c:gapWidth val="150"/>
        <c:shape val="box"/>
        <c:axId val="1273462928"/>
        <c:axId val="1273454608"/>
        <c:axId val="0"/>
      </c:bar3DChart>
      <c:catAx>
        <c:axId val="127346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54608"/>
        <c:crosses val="autoZero"/>
        <c:auto val="1"/>
        <c:lblAlgn val="ctr"/>
        <c:lblOffset val="100"/>
        <c:noMultiLvlLbl val="0"/>
      </c:catAx>
      <c:valAx>
        <c:axId val="12734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[BookSmart.xlsx]MoviePivot!PivotTable5</c:name>
    <c:fmtId val="23"/>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doughnutChart>
        <c:varyColors val="1"/>
        <c:ser>
          <c:idx val="0"/>
          <c:order val="0"/>
          <c:tx>
            <c:strRef>
              <c:f>MoviePivot!$B$3</c:f>
              <c:strCache>
                <c:ptCount val="1"/>
                <c:pt idx="0">
                  <c:v>Sum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95-439D-B74D-314D058305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95-439D-B74D-314D058305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95-439D-B74D-314D058305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95-439D-B74D-314D058305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95-439D-B74D-314D058305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95-439D-B74D-314D058305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695-439D-B74D-314D058305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695-439D-B74D-314D058305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695-439D-B74D-314D058305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695-439D-B74D-314D05830509}"/>
              </c:ext>
            </c:extLst>
          </c:dPt>
          <c:cat>
            <c:strRef>
              <c:f>MoviePivot!$A$4:$A$8</c:f>
              <c:strCache>
                <c:ptCount val="4"/>
                <c:pt idx="0">
                  <c:v>3 Idiots</c:v>
                </c:pt>
                <c:pt idx="1">
                  <c:v>Jawan</c:v>
                </c:pt>
                <c:pt idx="2">
                  <c:v>Pathan</c:v>
                </c:pt>
                <c:pt idx="3">
                  <c:v>Zindagi Na Milegi Dobara</c:v>
                </c:pt>
              </c:strCache>
            </c:strRef>
          </c:cat>
          <c:val>
            <c:numRef>
              <c:f>MoviePivot!$B$4:$B$8</c:f>
              <c:numCache>
                <c:formatCode>General</c:formatCode>
                <c:ptCount val="4"/>
                <c:pt idx="0">
                  <c:v>8.4</c:v>
                </c:pt>
                <c:pt idx="1">
                  <c:v>7.8</c:v>
                </c:pt>
                <c:pt idx="2">
                  <c:v>7.2</c:v>
                </c:pt>
                <c:pt idx="3">
                  <c:v>8.3000000000000007</c:v>
                </c:pt>
              </c:numCache>
            </c:numRef>
          </c:val>
          <c:extLst>
            <c:ext xmlns:c16="http://schemas.microsoft.com/office/drawing/2014/chart" uri="{C3380CC4-5D6E-409C-BE32-E72D297353CC}">
              <c16:uniqueId val="{00000014-5695-439D-B74D-314D05830509}"/>
            </c:ext>
          </c:extLst>
        </c:ser>
        <c:ser>
          <c:idx val="1"/>
          <c:order val="1"/>
          <c:tx>
            <c:strRef>
              <c:f>MoviePivot!$C$3</c:f>
              <c:strCache>
                <c:ptCount val="1"/>
                <c:pt idx="0">
                  <c:v>Sum of Duration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5695-439D-B74D-314D058305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5695-439D-B74D-314D058305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5695-439D-B74D-314D058305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5695-439D-B74D-314D058305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5695-439D-B74D-314D058305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5695-439D-B74D-314D058305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5695-439D-B74D-314D058305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5695-439D-B74D-314D058305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5695-439D-B74D-314D058305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5695-439D-B74D-314D05830509}"/>
              </c:ext>
            </c:extLst>
          </c:dPt>
          <c:cat>
            <c:strRef>
              <c:f>MoviePivot!$A$4:$A$8</c:f>
              <c:strCache>
                <c:ptCount val="4"/>
                <c:pt idx="0">
                  <c:v>3 Idiots</c:v>
                </c:pt>
                <c:pt idx="1">
                  <c:v>Jawan</c:v>
                </c:pt>
                <c:pt idx="2">
                  <c:v>Pathan</c:v>
                </c:pt>
                <c:pt idx="3">
                  <c:v>Zindagi Na Milegi Dobara</c:v>
                </c:pt>
              </c:strCache>
            </c:strRef>
          </c:cat>
          <c:val>
            <c:numRef>
              <c:f>MoviePivot!$C$4:$C$8</c:f>
              <c:numCache>
                <c:formatCode>General</c:formatCode>
                <c:ptCount val="4"/>
                <c:pt idx="0">
                  <c:v>171</c:v>
                </c:pt>
                <c:pt idx="1">
                  <c:v>169</c:v>
                </c:pt>
                <c:pt idx="2">
                  <c:v>146</c:v>
                </c:pt>
                <c:pt idx="3">
                  <c:v>155</c:v>
                </c:pt>
              </c:numCache>
            </c:numRef>
          </c:val>
          <c:extLst>
            <c:ext xmlns:c16="http://schemas.microsoft.com/office/drawing/2014/chart" uri="{C3380CC4-5D6E-409C-BE32-E72D297353CC}">
              <c16:uniqueId val="{00000029-5695-439D-B74D-314D058305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500530702761302"/>
          <c:y val="0.22348795694389353"/>
          <c:w val="0.36679097908030156"/>
          <c:h val="0.654792800136662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[BookSmart.xlsx]MoviePivot!PivotTable16</c:name>
    <c:fmtId val="29"/>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doughnutChart>
        <c:varyColors val="1"/>
        <c:ser>
          <c:idx val="0"/>
          <c:order val="0"/>
          <c:tx>
            <c:strRef>
              <c:f>MoviePivot!$H$3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B8-4E7A-9530-A2BA2673DD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B8-4E7A-9530-A2BA2673DD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B8-4E7A-9530-A2BA2673DD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B8-4E7A-9530-A2BA2673DD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B8-4E7A-9530-A2BA2673DD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8B8-4E7A-9530-A2BA2673DD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8B8-4E7A-9530-A2BA2673DD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8B8-4E7A-9530-A2BA2673DD4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8B8-4E7A-9530-A2BA2673DD4C}"/>
              </c:ext>
            </c:extLst>
          </c:dPt>
          <c:cat>
            <c:strRef>
              <c:f>MoviePivot!$G$4:$G$8</c:f>
              <c:strCache>
                <c:ptCount val="4"/>
                <c:pt idx="0">
                  <c:v>146</c:v>
                </c:pt>
                <c:pt idx="1">
                  <c:v>155</c:v>
                </c:pt>
                <c:pt idx="2">
                  <c:v>169</c:v>
                </c:pt>
                <c:pt idx="3">
                  <c:v>171</c:v>
                </c:pt>
              </c:strCache>
            </c:strRef>
          </c:cat>
          <c:val>
            <c:numRef>
              <c:f>MoviePivot!$H$4:$H$8</c:f>
              <c:numCache>
                <c:formatCode>General</c:formatCode>
                <c:ptCount val="4"/>
                <c:pt idx="0">
                  <c:v>7.2</c:v>
                </c:pt>
                <c:pt idx="1">
                  <c:v>8.3000000000000007</c:v>
                </c:pt>
                <c:pt idx="2">
                  <c:v>7.8</c:v>
                </c:pt>
                <c:pt idx="3">
                  <c:v>8.4</c:v>
                </c:pt>
              </c:numCache>
            </c:numRef>
          </c:val>
          <c:extLst>
            <c:ext xmlns:c16="http://schemas.microsoft.com/office/drawing/2014/chart" uri="{C3380CC4-5D6E-409C-BE32-E72D297353CC}">
              <c16:uniqueId val="{00000012-D8B8-4E7A-9530-A2BA2673D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[BookSmart.xlsx]MoviePivot!PivotTable3</c:name>
    <c:fmtId val="25"/>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MoviePivot!$B$17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10-4CC0-99E3-9ED7C78CCC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10-4CC0-99E3-9ED7C78CCC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10-4CC0-99E3-9ED7C78CCC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10-4CC0-99E3-9ED7C78CCC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10-4CC0-99E3-9ED7C78CCC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10-4CC0-99E3-9ED7C78CCC7B}"/>
              </c:ext>
            </c:extLst>
          </c:dPt>
          <c:cat>
            <c:strRef>
              <c:f>MoviePivot!$A$18:$A$21</c:f>
              <c:strCache>
                <c:ptCount val="3"/>
                <c:pt idx="0">
                  <c:v>Action</c:v>
                </c:pt>
                <c:pt idx="1">
                  <c:v>Comedy</c:v>
                </c:pt>
                <c:pt idx="2">
                  <c:v>Drama</c:v>
                </c:pt>
              </c:strCache>
            </c:strRef>
          </c:cat>
          <c:val>
            <c:numRef>
              <c:f>MoviePivot!$B$18:$B$21</c:f>
              <c:numCache>
                <c:formatCode>General</c:formatCode>
                <c:ptCount val="3"/>
                <c:pt idx="0">
                  <c:v>15</c:v>
                </c:pt>
                <c:pt idx="1">
                  <c:v>8.4</c:v>
                </c:pt>
                <c:pt idx="2">
                  <c:v>8.3000000000000007</c:v>
                </c:pt>
              </c:numCache>
            </c:numRef>
          </c:val>
          <c:extLst>
            <c:ext xmlns:c16="http://schemas.microsoft.com/office/drawing/2014/chart" uri="{C3380CC4-5D6E-409C-BE32-E72D297353CC}">
              <c16:uniqueId val="{0000000C-0810-4CC0-99E3-9ED7C78CCC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[BookSmart.xlsx]MoviePivot!PivotTable4</c:name>
    <c:fmtId val="23"/>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MoviePivot!$E$17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F4-402D-85CE-E1F4402A7A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F4-402D-85CE-E1F4402A7A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F4-402D-85CE-E1F4402A7A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F4-402D-85CE-E1F4402A7A7D}"/>
              </c:ext>
            </c:extLst>
          </c:dPt>
          <c:cat>
            <c:strRef>
              <c:f>MoviePivot!$D$18:$D$19</c:f>
              <c:strCache>
                <c:ptCount val="1"/>
                <c:pt idx="0">
                  <c:v>Hindi</c:v>
                </c:pt>
              </c:strCache>
            </c:strRef>
          </c:cat>
          <c:val>
            <c:numRef>
              <c:f>MoviePivot!$E$18:$E$19</c:f>
              <c:numCache>
                <c:formatCode>General</c:formatCode>
                <c:ptCount val="1"/>
                <c:pt idx="0">
                  <c:v>31.700000000000003</c:v>
                </c:pt>
              </c:numCache>
            </c:numRef>
          </c:val>
          <c:extLst>
            <c:ext xmlns:c16="http://schemas.microsoft.com/office/drawing/2014/chart" uri="{C3380CC4-5D6E-409C-BE32-E72D297353CC}">
              <c16:uniqueId val="{00000008-D3F4-402D-85CE-E1F4402A7A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[BookSmart.xlsx]TheaterPivot!PivotTable18</c:name>
    <c:fmtId val="2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TheaterPivot!$B$2</c:f>
              <c:strCache>
                <c:ptCount val="1"/>
                <c:pt idx="0">
                  <c:v>Sum of Screens</c:v>
                </c:pt>
              </c:strCache>
            </c:strRef>
          </c:tx>
          <c:spPr>
            <a:solidFill>
              <a:schemeClr val="accent1"/>
            </a:solidFill>
            <a:ln>
              <a:noFill/>
            </a:ln>
            <a:effectLst/>
          </c:spPr>
          <c:invertIfNegative val="0"/>
          <c:cat>
            <c:strRef>
              <c:f>TheaterPivot!$A$3:$A$4</c:f>
              <c:strCache>
                <c:ptCount val="1"/>
                <c:pt idx="0">
                  <c:v>Miraj Plazza</c:v>
                </c:pt>
              </c:strCache>
            </c:strRef>
          </c:cat>
          <c:val>
            <c:numRef>
              <c:f>TheaterPivot!$B$3:$B$4</c:f>
              <c:numCache>
                <c:formatCode>General</c:formatCode>
                <c:ptCount val="1"/>
                <c:pt idx="0">
                  <c:v>2</c:v>
                </c:pt>
              </c:numCache>
            </c:numRef>
          </c:val>
          <c:extLst>
            <c:ext xmlns:c16="http://schemas.microsoft.com/office/drawing/2014/chart" uri="{C3380CC4-5D6E-409C-BE32-E72D297353CC}">
              <c16:uniqueId val="{00000000-A5A5-4214-95B0-6119F6C5936C}"/>
            </c:ext>
          </c:extLst>
        </c:ser>
        <c:ser>
          <c:idx val="1"/>
          <c:order val="1"/>
          <c:tx>
            <c:strRef>
              <c:f>TheaterPivot!$C$2</c:f>
              <c:strCache>
                <c:ptCount val="1"/>
                <c:pt idx="0">
                  <c:v>Sum of Capacity</c:v>
                </c:pt>
              </c:strCache>
            </c:strRef>
          </c:tx>
          <c:spPr>
            <a:solidFill>
              <a:schemeClr val="accent2"/>
            </a:solidFill>
            <a:ln>
              <a:noFill/>
            </a:ln>
            <a:effectLst/>
          </c:spPr>
          <c:invertIfNegative val="0"/>
          <c:cat>
            <c:strRef>
              <c:f>TheaterPivot!$A$3:$A$4</c:f>
              <c:strCache>
                <c:ptCount val="1"/>
                <c:pt idx="0">
                  <c:v>Miraj Plazza</c:v>
                </c:pt>
              </c:strCache>
            </c:strRef>
          </c:cat>
          <c:val>
            <c:numRef>
              <c:f>TheaterPivot!$C$3:$C$4</c:f>
              <c:numCache>
                <c:formatCode>General</c:formatCode>
                <c:ptCount val="1"/>
                <c:pt idx="0">
                  <c:v>270</c:v>
                </c:pt>
              </c:numCache>
            </c:numRef>
          </c:val>
          <c:extLst>
            <c:ext xmlns:c16="http://schemas.microsoft.com/office/drawing/2014/chart" uri="{C3380CC4-5D6E-409C-BE32-E72D297353CC}">
              <c16:uniqueId val="{00000001-A5A5-4214-95B0-6119F6C5936C}"/>
            </c:ext>
          </c:extLst>
        </c:ser>
        <c:dLbls>
          <c:showLegendKey val="0"/>
          <c:showVal val="0"/>
          <c:showCatName val="0"/>
          <c:showSerName val="0"/>
          <c:showPercent val="0"/>
          <c:showBubbleSize val="0"/>
        </c:dLbls>
        <c:gapWidth val="219"/>
        <c:overlap val="-27"/>
        <c:axId val="1568879807"/>
        <c:axId val="1568882719"/>
      </c:barChart>
      <c:catAx>
        <c:axId val="156887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8882719"/>
        <c:crosses val="autoZero"/>
        <c:auto val="1"/>
        <c:lblAlgn val="ctr"/>
        <c:lblOffset val="100"/>
        <c:noMultiLvlLbl val="0"/>
      </c:catAx>
      <c:valAx>
        <c:axId val="15688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8879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[BookSmart.xlsx]TheaterPivot!PivotTable20</c:name>
    <c:fmtId val="1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TheaterPivot!$F$2</c:f>
              <c:strCache>
                <c:ptCount val="1"/>
                <c:pt idx="0">
                  <c:v>Count of Type</c:v>
                </c:pt>
              </c:strCache>
            </c:strRef>
          </c:tx>
          <c:spPr>
            <a:solidFill>
              <a:schemeClr val="accent1"/>
            </a:solidFill>
            <a:ln>
              <a:noFill/>
            </a:ln>
            <a:effectLst/>
          </c:spPr>
          <c:invertIfNegative val="0"/>
          <c:cat>
            <c:strRef>
              <c:f>TheaterPivot!$E$3:$E$4</c:f>
              <c:strCache>
                <c:ptCount val="1"/>
                <c:pt idx="0">
                  <c:v>Goregoan</c:v>
                </c:pt>
              </c:strCache>
            </c:strRef>
          </c:cat>
          <c:val>
            <c:numRef>
              <c:f>TheaterPivot!$F$3:$F$4</c:f>
              <c:numCache>
                <c:formatCode>General</c:formatCode>
                <c:ptCount val="1"/>
                <c:pt idx="0">
                  <c:v>1</c:v>
                </c:pt>
              </c:numCache>
            </c:numRef>
          </c:val>
          <c:extLst>
            <c:ext xmlns:c16="http://schemas.microsoft.com/office/drawing/2014/chart" uri="{C3380CC4-5D6E-409C-BE32-E72D297353CC}">
              <c16:uniqueId val="{00000000-09A7-4C98-94EA-13C9083D45FC}"/>
            </c:ext>
          </c:extLst>
        </c:ser>
        <c:ser>
          <c:idx val="1"/>
          <c:order val="1"/>
          <c:tx>
            <c:strRef>
              <c:f>TheaterPivot!$G$2</c:f>
              <c:strCache>
                <c:ptCount val="1"/>
                <c:pt idx="0">
                  <c:v>Sum of Rating</c:v>
                </c:pt>
              </c:strCache>
            </c:strRef>
          </c:tx>
          <c:spPr>
            <a:solidFill>
              <a:schemeClr val="accent2"/>
            </a:solidFill>
            <a:ln>
              <a:noFill/>
            </a:ln>
            <a:effectLst/>
          </c:spPr>
          <c:invertIfNegative val="0"/>
          <c:cat>
            <c:strRef>
              <c:f>TheaterPivot!$E$3:$E$4</c:f>
              <c:strCache>
                <c:ptCount val="1"/>
                <c:pt idx="0">
                  <c:v>Goregoan</c:v>
                </c:pt>
              </c:strCache>
            </c:strRef>
          </c:cat>
          <c:val>
            <c:numRef>
              <c:f>TheaterPivot!$G$3:$G$4</c:f>
              <c:numCache>
                <c:formatCode>General</c:formatCode>
                <c:ptCount val="1"/>
                <c:pt idx="0">
                  <c:v>3.2</c:v>
                </c:pt>
              </c:numCache>
            </c:numRef>
          </c:val>
          <c:extLst>
            <c:ext xmlns:c16="http://schemas.microsoft.com/office/drawing/2014/chart" uri="{C3380CC4-5D6E-409C-BE32-E72D297353CC}">
              <c16:uniqueId val="{00000001-09A7-4C98-94EA-13C9083D45FC}"/>
            </c:ext>
          </c:extLst>
        </c:ser>
        <c:dLbls>
          <c:showLegendKey val="0"/>
          <c:showVal val="0"/>
          <c:showCatName val="0"/>
          <c:showSerName val="0"/>
          <c:showPercent val="0"/>
          <c:showBubbleSize val="0"/>
        </c:dLbls>
        <c:gapWidth val="219"/>
        <c:overlap val="-27"/>
        <c:axId val="1495305087"/>
        <c:axId val="1495306751"/>
      </c:barChart>
      <c:catAx>
        <c:axId val="14953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95306751"/>
        <c:crosses val="autoZero"/>
        <c:auto val="1"/>
        <c:lblAlgn val="ctr"/>
        <c:lblOffset val="100"/>
        <c:noMultiLvlLbl val="0"/>
      </c:catAx>
      <c:valAx>
        <c:axId val="14953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95305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[BookSmart.xlsx]showspivot!PivotTable6</c:name>
    <c:fmtId val="2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doughnutChart>
        <c:varyColors val="1"/>
        <c:ser>
          <c:idx val="0"/>
          <c:order val="0"/>
          <c:tx>
            <c:strRef>
              <c:f>showspivot!$B$3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D6A-4C41-A6A7-ED0428EB8C31}"/>
              </c:ext>
            </c:extLst>
          </c:dPt>
          <c:dPt>
            <c:idx val="1"/>
            <c:bubble3D val="0"/>
            <c:spPr>
              <a:solidFill>
                <a:schemeClr val="accent2"/>
              </a:solidFill>
              <a:ln>
                <a:noFill/>
              </a:ln>
              <a:effectLst/>
            </c:spPr>
            <c:extLst>
              <c:ext xmlns:c16="http://schemas.microsoft.com/office/drawing/2014/chart" uri="{C3380CC4-5D6E-409C-BE32-E72D297353CC}">
                <c16:uniqueId val="{00000003-7D6A-4C41-A6A7-ED0428EB8C31}"/>
              </c:ext>
            </c:extLst>
          </c:dPt>
          <c:dPt>
            <c:idx val="2"/>
            <c:bubble3D val="0"/>
            <c:spPr>
              <a:solidFill>
                <a:schemeClr val="accent3"/>
              </a:solidFill>
              <a:ln>
                <a:noFill/>
              </a:ln>
              <a:effectLst/>
            </c:spPr>
            <c:extLst>
              <c:ext xmlns:c16="http://schemas.microsoft.com/office/drawing/2014/chart" uri="{C3380CC4-5D6E-409C-BE32-E72D297353CC}">
                <c16:uniqueId val="{00000005-7D6A-4C41-A6A7-ED0428EB8C31}"/>
              </c:ext>
            </c:extLst>
          </c:dPt>
          <c:dPt>
            <c:idx val="3"/>
            <c:bubble3D val="0"/>
            <c:spPr>
              <a:solidFill>
                <a:schemeClr val="accent4"/>
              </a:solidFill>
              <a:ln>
                <a:noFill/>
              </a:ln>
              <a:effectLst/>
            </c:spPr>
            <c:extLst>
              <c:ext xmlns:c16="http://schemas.microsoft.com/office/drawing/2014/chart" uri="{C3380CC4-5D6E-409C-BE32-E72D297353CC}">
                <c16:uniqueId val="{00000007-7D6A-4C41-A6A7-ED0428EB8C31}"/>
              </c:ext>
            </c:extLst>
          </c:dPt>
          <c:dPt>
            <c:idx val="4"/>
            <c:bubble3D val="0"/>
            <c:spPr>
              <a:solidFill>
                <a:schemeClr val="accent5"/>
              </a:solidFill>
              <a:ln>
                <a:noFill/>
              </a:ln>
              <a:effectLst/>
            </c:spPr>
            <c:extLst>
              <c:ext xmlns:c16="http://schemas.microsoft.com/office/drawing/2014/chart" uri="{C3380CC4-5D6E-409C-BE32-E72D297353CC}">
                <c16:uniqueId val="{00000009-7D6A-4C41-A6A7-ED0428EB8C31}"/>
              </c:ext>
            </c:extLst>
          </c:dPt>
          <c:dPt>
            <c:idx val="5"/>
            <c:bubble3D val="0"/>
            <c:spPr>
              <a:solidFill>
                <a:schemeClr val="accent6"/>
              </a:solidFill>
              <a:ln>
                <a:noFill/>
              </a:ln>
              <a:effectLst/>
            </c:spPr>
            <c:extLst>
              <c:ext xmlns:c16="http://schemas.microsoft.com/office/drawing/2014/chart" uri="{C3380CC4-5D6E-409C-BE32-E72D297353CC}">
                <c16:uniqueId val="{0000000B-7D6A-4C41-A6A7-ED0428EB8C3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D6A-4C41-A6A7-ED0428EB8C3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D6A-4C41-A6A7-ED0428EB8C3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D6A-4C41-A6A7-ED0428EB8C3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D6A-4C41-A6A7-ED0428EB8C31}"/>
              </c:ext>
            </c:extLst>
          </c:dPt>
          <c:cat>
            <c:strRef>
              <c:f>showspivot!$A$4:$A$14</c:f>
              <c:strCache>
                <c:ptCount val="10"/>
                <c:pt idx="0">
                  <c:v>S101</c:v>
                </c:pt>
                <c:pt idx="1">
                  <c:v>S102</c:v>
                </c:pt>
                <c:pt idx="2">
                  <c:v>S103</c:v>
                </c:pt>
                <c:pt idx="3">
                  <c:v>S104</c:v>
                </c:pt>
                <c:pt idx="4">
                  <c:v>S105</c:v>
                </c:pt>
                <c:pt idx="5">
                  <c:v>S106</c:v>
                </c:pt>
                <c:pt idx="6">
                  <c:v>S107</c:v>
                </c:pt>
                <c:pt idx="7">
                  <c:v>S108</c:v>
                </c:pt>
                <c:pt idx="8">
                  <c:v>S109</c:v>
                </c:pt>
                <c:pt idx="9">
                  <c:v>S110</c:v>
                </c:pt>
              </c:strCache>
            </c:strRef>
          </c:cat>
          <c:val>
            <c:numRef>
              <c:f>showspivot!$B$4:$B$14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4-7D6A-4C41-A6A7-ED0428EB8C3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[BookSmart.xlsx]showspivot!PivotTable7</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doughnutChart>
        <c:varyColors val="1"/>
        <c:ser>
          <c:idx val="0"/>
          <c:order val="0"/>
          <c:tx>
            <c:strRef>
              <c:f>showspivot!$E$3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47-408E-88E5-EB27DFD118FA}"/>
              </c:ext>
            </c:extLst>
          </c:dPt>
          <c:dPt>
            <c:idx val="1"/>
            <c:bubble3D val="0"/>
            <c:spPr>
              <a:solidFill>
                <a:schemeClr val="accent2"/>
              </a:solidFill>
              <a:ln>
                <a:noFill/>
              </a:ln>
              <a:effectLst/>
            </c:spPr>
            <c:extLst>
              <c:ext xmlns:c16="http://schemas.microsoft.com/office/drawing/2014/chart" uri="{C3380CC4-5D6E-409C-BE32-E72D297353CC}">
                <c16:uniqueId val="{00000003-1447-408E-88E5-EB27DFD118FA}"/>
              </c:ext>
            </c:extLst>
          </c:dPt>
          <c:dPt>
            <c:idx val="2"/>
            <c:bubble3D val="0"/>
            <c:spPr>
              <a:solidFill>
                <a:schemeClr val="accent3"/>
              </a:solidFill>
              <a:ln>
                <a:noFill/>
              </a:ln>
              <a:effectLst/>
            </c:spPr>
            <c:extLst>
              <c:ext xmlns:c16="http://schemas.microsoft.com/office/drawing/2014/chart" uri="{C3380CC4-5D6E-409C-BE32-E72D297353CC}">
                <c16:uniqueId val="{00000005-1447-408E-88E5-EB27DFD118FA}"/>
              </c:ext>
            </c:extLst>
          </c:dPt>
          <c:dPt>
            <c:idx val="3"/>
            <c:bubble3D val="0"/>
            <c:spPr>
              <a:solidFill>
                <a:schemeClr val="accent4"/>
              </a:solidFill>
              <a:ln>
                <a:noFill/>
              </a:ln>
              <a:effectLst/>
            </c:spPr>
            <c:extLst>
              <c:ext xmlns:c16="http://schemas.microsoft.com/office/drawing/2014/chart" uri="{C3380CC4-5D6E-409C-BE32-E72D297353CC}">
                <c16:uniqueId val="{00000007-1447-408E-88E5-EB27DFD118FA}"/>
              </c:ext>
            </c:extLst>
          </c:dPt>
          <c:dPt>
            <c:idx val="4"/>
            <c:bubble3D val="0"/>
            <c:spPr>
              <a:solidFill>
                <a:schemeClr val="accent5"/>
              </a:solidFill>
              <a:ln>
                <a:noFill/>
              </a:ln>
              <a:effectLst/>
            </c:spPr>
            <c:extLst>
              <c:ext xmlns:c16="http://schemas.microsoft.com/office/drawing/2014/chart" uri="{C3380CC4-5D6E-409C-BE32-E72D297353CC}">
                <c16:uniqueId val="{00000009-1447-408E-88E5-EB27DFD118FA}"/>
              </c:ext>
            </c:extLst>
          </c:dPt>
          <c:dPt>
            <c:idx val="5"/>
            <c:bubble3D val="0"/>
            <c:spPr>
              <a:solidFill>
                <a:schemeClr val="accent6"/>
              </a:solidFill>
              <a:ln>
                <a:noFill/>
              </a:ln>
              <a:effectLst/>
            </c:spPr>
            <c:extLst>
              <c:ext xmlns:c16="http://schemas.microsoft.com/office/drawing/2014/chart" uri="{C3380CC4-5D6E-409C-BE32-E72D297353CC}">
                <c16:uniqueId val="{0000000B-1447-408E-88E5-EB27DFD118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447-408E-88E5-EB27DFD118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447-408E-88E5-EB27DFD118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447-408E-88E5-EB27DFD118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447-408E-88E5-EB27DFD118FA}"/>
              </c:ext>
            </c:extLst>
          </c:dPt>
          <c:cat>
            <c:strRef>
              <c:f>showspivot!$D$4:$D$14</c:f>
              <c:strCache>
                <c:ptCount val="10"/>
                <c:pt idx="0">
                  <c:v>M101</c:v>
                </c:pt>
                <c:pt idx="1">
                  <c:v>M102</c:v>
                </c:pt>
                <c:pt idx="2">
                  <c:v>M103</c:v>
                </c:pt>
                <c:pt idx="3">
                  <c:v>M104</c:v>
                </c:pt>
                <c:pt idx="4">
                  <c:v>M105</c:v>
                </c:pt>
                <c:pt idx="5">
                  <c:v>M106</c:v>
                </c:pt>
                <c:pt idx="6">
                  <c:v>M107</c:v>
                </c:pt>
                <c:pt idx="7">
                  <c:v>M108</c:v>
                </c:pt>
                <c:pt idx="8">
                  <c:v>M109</c:v>
                </c:pt>
                <c:pt idx="9">
                  <c:v>M110</c:v>
                </c:pt>
              </c:strCache>
            </c:strRef>
          </c:cat>
          <c:val>
            <c:numRef>
              <c:f>showspivot!$E$4:$E$14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4-1447-408E-88E5-EB27DFD118F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[BookSmart.xlsx]showspivot!PivotTable9</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doughnutChart>
        <c:varyColors val="1"/>
        <c:ser>
          <c:idx val="0"/>
          <c:order val="0"/>
          <c:tx>
            <c:strRef>
              <c:f>showspivot!$H$8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DC3-4802-9BD0-48259618BA4D}"/>
              </c:ext>
            </c:extLst>
          </c:dPt>
          <c:dPt>
            <c:idx val="1"/>
            <c:bubble3D val="0"/>
            <c:spPr>
              <a:solidFill>
                <a:schemeClr val="accent2"/>
              </a:solidFill>
              <a:ln>
                <a:noFill/>
              </a:ln>
              <a:effectLst/>
            </c:spPr>
            <c:extLst>
              <c:ext xmlns:c16="http://schemas.microsoft.com/office/drawing/2014/chart" uri="{C3380CC4-5D6E-409C-BE32-E72D297353CC}">
                <c16:uniqueId val="{00000003-ADC3-4802-9BD0-48259618BA4D}"/>
              </c:ext>
            </c:extLst>
          </c:dPt>
          <c:dPt>
            <c:idx val="2"/>
            <c:bubble3D val="0"/>
            <c:spPr>
              <a:solidFill>
                <a:schemeClr val="accent3"/>
              </a:solidFill>
              <a:ln>
                <a:noFill/>
              </a:ln>
              <a:effectLst/>
            </c:spPr>
            <c:extLst>
              <c:ext xmlns:c16="http://schemas.microsoft.com/office/drawing/2014/chart" uri="{C3380CC4-5D6E-409C-BE32-E72D297353CC}">
                <c16:uniqueId val="{00000005-ADC3-4802-9BD0-48259618BA4D}"/>
              </c:ext>
            </c:extLst>
          </c:dPt>
          <c:dPt>
            <c:idx val="3"/>
            <c:bubble3D val="0"/>
            <c:spPr>
              <a:solidFill>
                <a:schemeClr val="accent4"/>
              </a:solidFill>
              <a:ln>
                <a:noFill/>
              </a:ln>
              <a:effectLst/>
            </c:spPr>
            <c:extLst>
              <c:ext xmlns:c16="http://schemas.microsoft.com/office/drawing/2014/chart" uri="{C3380CC4-5D6E-409C-BE32-E72D297353CC}">
                <c16:uniqueId val="{00000007-ADC3-4802-9BD0-48259618BA4D}"/>
              </c:ext>
            </c:extLst>
          </c:dPt>
          <c:dPt>
            <c:idx val="4"/>
            <c:bubble3D val="0"/>
            <c:spPr>
              <a:solidFill>
                <a:schemeClr val="accent5"/>
              </a:solidFill>
              <a:ln>
                <a:noFill/>
              </a:ln>
              <a:effectLst/>
            </c:spPr>
            <c:extLst>
              <c:ext xmlns:c16="http://schemas.microsoft.com/office/drawing/2014/chart" uri="{C3380CC4-5D6E-409C-BE32-E72D297353CC}">
                <c16:uniqueId val="{00000009-ADC3-4802-9BD0-48259618BA4D}"/>
              </c:ext>
            </c:extLst>
          </c:dPt>
          <c:dPt>
            <c:idx val="5"/>
            <c:bubble3D val="0"/>
            <c:spPr>
              <a:solidFill>
                <a:schemeClr val="accent6"/>
              </a:solidFill>
              <a:ln>
                <a:noFill/>
              </a:ln>
              <a:effectLst/>
            </c:spPr>
            <c:extLst>
              <c:ext xmlns:c16="http://schemas.microsoft.com/office/drawing/2014/chart" uri="{C3380CC4-5D6E-409C-BE32-E72D297353CC}">
                <c16:uniqueId val="{0000000B-ADC3-4802-9BD0-48259618BA4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DC3-4802-9BD0-48259618BA4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DC3-4802-9BD0-48259618BA4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DC3-4802-9BD0-48259618BA4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DC3-4802-9BD0-48259618BA4D}"/>
              </c:ext>
            </c:extLst>
          </c:dPt>
          <c:cat>
            <c:strRef>
              <c:f>showspivot!$G$9:$G$19</c:f>
              <c:strCache>
                <c:ptCount val="10"/>
                <c:pt idx="0">
                  <c:v>T01</c:v>
                </c:pt>
                <c:pt idx="1">
                  <c:v>T02</c:v>
                </c:pt>
                <c:pt idx="2">
                  <c:v>T03</c:v>
                </c:pt>
                <c:pt idx="3">
                  <c:v>T04</c:v>
                </c:pt>
                <c:pt idx="4">
                  <c:v>T05</c:v>
                </c:pt>
                <c:pt idx="5">
                  <c:v>T06</c:v>
                </c:pt>
                <c:pt idx="6">
                  <c:v>T07</c:v>
                </c:pt>
                <c:pt idx="7">
                  <c:v>T08</c:v>
                </c:pt>
                <c:pt idx="8">
                  <c:v>T09</c:v>
                </c:pt>
                <c:pt idx="9">
                  <c:v>T10</c:v>
                </c:pt>
              </c:strCache>
            </c:strRef>
          </c:cat>
          <c:val>
            <c:numRef>
              <c:f>showspivot!$H$9:$H$19</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14-ADC3-4802-9BD0-48259618BA4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[BookSmart.xlsx]showspivot!PivotTable8</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showspivot!$H$3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5AA-4E23-8210-367F4718098A}"/>
              </c:ext>
            </c:extLst>
          </c:dPt>
          <c:dPt>
            <c:idx val="1"/>
            <c:bubble3D val="0"/>
            <c:spPr>
              <a:solidFill>
                <a:schemeClr val="accent2"/>
              </a:solidFill>
              <a:ln>
                <a:noFill/>
              </a:ln>
              <a:effectLst/>
            </c:spPr>
            <c:extLst>
              <c:ext xmlns:c16="http://schemas.microsoft.com/office/drawing/2014/chart" uri="{C3380CC4-5D6E-409C-BE32-E72D297353CC}">
                <c16:uniqueId val="{00000003-15AA-4E23-8210-367F4718098A}"/>
              </c:ext>
            </c:extLst>
          </c:dPt>
          <c:cat>
            <c:strRef>
              <c:f>showspivot!$G$4:$G$6</c:f>
              <c:strCache>
                <c:ptCount val="2"/>
                <c:pt idx="0">
                  <c:v>Oct</c:v>
                </c:pt>
                <c:pt idx="1">
                  <c:v>Nov</c:v>
                </c:pt>
              </c:strCache>
            </c:strRef>
          </c:cat>
          <c:val>
            <c:numRef>
              <c:f>showspivot!$H$4:$H$6</c:f>
              <c:numCache>
                <c:formatCode>General</c:formatCode>
                <c:ptCount val="2"/>
                <c:pt idx="0">
                  <c:v>2</c:v>
                </c:pt>
                <c:pt idx="1">
                  <c:v>8</c:v>
                </c:pt>
              </c:numCache>
            </c:numRef>
          </c:val>
          <c:extLst>
            <c:ext xmlns:c16="http://schemas.microsoft.com/office/drawing/2014/chart" uri="{C3380CC4-5D6E-409C-BE32-E72D297353CC}">
              <c16:uniqueId val="{00000004-15AA-4E23-8210-367F4718098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[BookSmart.xlsx]bookingpivot!PivotTable1</c:name>
    <c:fmtId val="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bookingpivot!$B$3</c:f>
              <c:strCache>
                <c:ptCount val="1"/>
                <c:pt idx="0">
                  <c:v>Sum of Ticket_Price</c:v>
                </c:pt>
              </c:strCache>
            </c:strRef>
          </c:tx>
          <c:spPr>
            <a:solidFill>
              <a:schemeClr val="accent1"/>
            </a:solidFill>
            <a:ln>
              <a:noFill/>
            </a:ln>
            <a:effectLst/>
            <a:sp3d/>
          </c:spPr>
          <c:invertIfNegative val="0"/>
          <c:cat>
            <c:strRef>
              <c:f>bookingpivot!$A$4:$A$14</c:f>
              <c:strCache>
                <c:ptCount val="10"/>
                <c:pt idx="0">
                  <c:v>Aman</c:v>
                </c:pt>
                <c:pt idx="1">
                  <c:v>Arav</c:v>
                </c:pt>
                <c:pt idx="2">
                  <c:v>Karan</c:v>
                </c:pt>
                <c:pt idx="3">
                  <c:v>Mohit</c:v>
                </c:pt>
                <c:pt idx="4">
                  <c:v>Neha</c:v>
                </c:pt>
                <c:pt idx="5">
                  <c:v>Priya</c:v>
                </c:pt>
                <c:pt idx="6">
                  <c:v>Riya</c:v>
                </c:pt>
                <c:pt idx="7">
                  <c:v>Sara</c:v>
                </c:pt>
                <c:pt idx="8">
                  <c:v>Shubham</c:v>
                </c:pt>
                <c:pt idx="9">
                  <c:v>Tanvi</c:v>
                </c:pt>
              </c:strCache>
            </c:strRef>
          </c:cat>
          <c:val>
            <c:numRef>
              <c:f>bookingpivot!$B$4:$B$14</c:f>
              <c:numCache>
                <c:formatCode>General</c:formatCode>
                <c:ptCount val="10"/>
                <c:pt idx="0">
                  <c:v>300</c:v>
                </c:pt>
                <c:pt idx="1">
                  <c:v>250</c:v>
                </c:pt>
                <c:pt idx="2">
                  <c:v>200</c:v>
                </c:pt>
                <c:pt idx="3">
                  <c:v>300</c:v>
                </c:pt>
                <c:pt idx="4">
                  <c:v>190</c:v>
                </c:pt>
                <c:pt idx="5">
                  <c:v>250</c:v>
                </c:pt>
                <c:pt idx="6">
                  <c:v>250</c:v>
                </c:pt>
                <c:pt idx="7">
                  <c:v>200</c:v>
                </c:pt>
                <c:pt idx="8">
                  <c:v>230</c:v>
                </c:pt>
                <c:pt idx="9">
                  <c:v>250</c:v>
                </c:pt>
              </c:numCache>
            </c:numRef>
          </c:val>
          <c:extLst>
            <c:ext xmlns:c16="http://schemas.microsoft.com/office/drawing/2014/chart" uri="{C3380CC4-5D6E-409C-BE32-E72D297353CC}">
              <c16:uniqueId val="{00000000-165E-4F20-86C8-C286C90AB70C}"/>
            </c:ext>
          </c:extLst>
        </c:ser>
        <c:ser>
          <c:idx val="1"/>
          <c:order val="1"/>
          <c:tx>
            <c:strRef>
              <c:f>bookingpivot!$C$3</c:f>
              <c:strCache>
                <c:ptCount val="1"/>
                <c:pt idx="0">
                  <c:v>Sum of Tickets_Booked</c:v>
                </c:pt>
              </c:strCache>
            </c:strRef>
          </c:tx>
          <c:spPr>
            <a:solidFill>
              <a:schemeClr val="accent2"/>
            </a:solidFill>
            <a:ln>
              <a:noFill/>
            </a:ln>
            <a:effectLst/>
            <a:sp3d/>
          </c:spPr>
          <c:invertIfNegative val="0"/>
          <c:cat>
            <c:strRef>
              <c:f>bookingpivot!$A$4:$A$14</c:f>
              <c:strCache>
                <c:ptCount val="10"/>
                <c:pt idx="0">
                  <c:v>Aman</c:v>
                </c:pt>
                <c:pt idx="1">
                  <c:v>Arav</c:v>
                </c:pt>
                <c:pt idx="2">
                  <c:v>Karan</c:v>
                </c:pt>
                <c:pt idx="3">
                  <c:v>Mohit</c:v>
                </c:pt>
                <c:pt idx="4">
                  <c:v>Neha</c:v>
                </c:pt>
                <c:pt idx="5">
                  <c:v>Priya</c:v>
                </c:pt>
                <c:pt idx="6">
                  <c:v>Riya</c:v>
                </c:pt>
                <c:pt idx="7">
                  <c:v>Sara</c:v>
                </c:pt>
                <c:pt idx="8">
                  <c:v>Shubham</c:v>
                </c:pt>
                <c:pt idx="9">
                  <c:v>Tanvi</c:v>
                </c:pt>
              </c:strCache>
            </c:strRef>
          </c:cat>
          <c:val>
            <c:numRef>
              <c:f>bookingpivot!$C$4:$C$14</c:f>
              <c:numCache>
                <c:formatCode>General</c:formatCode>
                <c:ptCount val="10"/>
                <c:pt idx="0">
                  <c:v>3</c:v>
                </c:pt>
                <c:pt idx="1">
                  <c:v>1</c:v>
                </c:pt>
                <c:pt idx="2">
                  <c:v>2</c:v>
                </c:pt>
                <c:pt idx="3">
                  <c:v>7</c:v>
                </c:pt>
                <c:pt idx="4">
                  <c:v>5</c:v>
                </c:pt>
                <c:pt idx="5">
                  <c:v>4</c:v>
                </c:pt>
                <c:pt idx="6">
                  <c:v>3</c:v>
                </c:pt>
                <c:pt idx="7">
                  <c:v>4</c:v>
                </c:pt>
                <c:pt idx="8">
                  <c:v>5</c:v>
                </c:pt>
                <c:pt idx="9">
                  <c:v>5</c:v>
                </c:pt>
              </c:numCache>
            </c:numRef>
          </c:val>
          <c:extLst>
            <c:ext xmlns:c16="http://schemas.microsoft.com/office/drawing/2014/chart" uri="{C3380CC4-5D6E-409C-BE32-E72D297353CC}">
              <c16:uniqueId val="{00000001-165E-4F20-86C8-C286C90AB70C}"/>
            </c:ext>
          </c:extLst>
        </c:ser>
        <c:dLbls>
          <c:showLegendKey val="0"/>
          <c:showVal val="0"/>
          <c:showCatName val="0"/>
          <c:showSerName val="0"/>
          <c:showPercent val="0"/>
          <c:showBubbleSize val="0"/>
        </c:dLbls>
        <c:gapWidth val="150"/>
        <c:shape val="box"/>
        <c:axId val="1273443200"/>
        <c:axId val="1273450688"/>
        <c:axId val="0"/>
      </c:bar3DChart>
      <c:catAx>
        <c:axId val="127344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50688"/>
        <c:crosses val="autoZero"/>
        <c:auto val="1"/>
        <c:lblAlgn val="ctr"/>
        <c:lblOffset val="100"/>
        <c:noMultiLvlLbl val="0"/>
      </c:catAx>
      <c:valAx>
        <c:axId val="12734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4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[BookSmart.xlsx]bookingpivot!PivotTable2</c:name>
    <c:fmtId val="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bookingpivot!$F$3</c:f>
              <c:strCache>
                <c:ptCount val="1"/>
                <c:pt idx="0">
                  <c:v>Sum of Ticket_Price</c:v>
                </c:pt>
              </c:strCache>
            </c:strRef>
          </c:tx>
          <c:spPr>
            <a:solidFill>
              <a:schemeClr val="accent1"/>
            </a:solidFill>
            <a:ln>
              <a:noFill/>
            </a:ln>
            <a:effectLst/>
            <a:sp3d/>
          </c:spPr>
          <c:invertIfNegative val="0"/>
          <c:cat>
            <c:strRef>
              <c:f>bookingpivot!$E$4:$E$14</c:f>
              <c:strCache>
                <c:ptCount val="10"/>
                <c:pt idx="0">
                  <c:v>30-Oct</c:v>
                </c:pt>
                <c:pt idx="1">
                  <c:v>31-Oct</c:v>
                </c:pt>
                <c:pt idx="2">
                  <c:v>1-Nov</c:v>
                </c:pt>
                <c:pt idx="3">
                  <c:v>2-Nov</c:v>
                </c:pt>
                <c:pt idx="4">
                  <c:v>3-Nov</c:v>
                </c:pt>
                <c:pt idx="5">
                  <c:v>4-Nov</c:v>
                </c:pt>
                <c:pt idx="6">
                  <c:v>5-Nov</c:v>
                </c:pt>
                <c:pt idx="7">
                  <c:v>6-Nov</c:v>
                </c:pt>
                <c:pt idx="8">
                  <c:v>7-Nov</c:v>
                </c:pt>
                <c:pt idx="9">
                  <c:v>8-Nov</c:v>
                </c:pt>
              </c:strCache>
            </c:strRef>
          </c:cat>
          <c:val>
            <c:numRef>
              <c:f>bookingpivot!$F$4:$F$14</c:f>
              <c:numCache>
                <c:formatCode>General</c:formatCode>
                <c:ptCount val="10"/>
                <c:pt idx="0">
                  <c:v>250</c:v>
                </c:pt>
                <c:pt idx="1">
                  <c:v>200</c:v>
                </c:pt>
                <c:pt idx="2">
                  <c:v>230</c:v>
                </c:pt>
                <c:pt idx="3">
                  <c:v>250</c:v>
                </c:pt>
                <c:pt idx="4">
                  <c:v>300</c:v>
                </c:pt>
                <c:pt idx="5">
                  <c:v>190</c:v>
                </c:pt>
                <c:pt idx="6">
                  <c:v>250</c:v>
                </c:pt>
                <c:pt idx="7">
                  <c:v>200</c:v>
                </c:pt>
                <c:pt idx="8">
                  <c:v>250</c:v>
                </c:pt>
                <c:pt idx="9">
                  <c:v>300</c:v>
                </c:pt>
              </c:numCache>
            </c:numRef>
          </c:val>
          <c:extLst>
            <c:ext xmlns:c16="http://schemas.microsoft.com/office/drawing/2014/chart" uri="{C3380CC4-5D6E-409C-BE32-E72D297353CC}">
              <c16:uniqueId val="{00000000-517A-4220-8FBD-4F809FE39FEB}"/>
            </c:ext>
          </c:extLst>
        </c:ser>
        <c:ser>
          <c:idx val="1"/>
          <c:order val="1"/>
          <c:tx>
            <c:strRef>
              <c:f>bookingpivot!$G$3</c:f>
              <c:strCache>
                <c:ptCount val="1"/>
                <c:pt idx="0">
                  <c:v>Sum of Tickets_Booked</c:v>
                </c:pt>
              </c:strCache>
            </c:strRef>
          </c:tx>
          <c:spPr>
            <a:solidFill>
              <a:schemeClr val="accent2"/>
            </a:solidFill>
            <a:ln>
              <a:noFill/>
            </a:ln>
            <a:effectLst/>
            <a:sp3d/>
          </c:spPr>
          <c:invertIfNegative val="0"/>
          <c:cat>
            <c:strRef>
              <c:f>bookingpivot!$E$4:$E$14</c:f>
              <c:strCache>
                <c:ptCount val="10"/>
                <c:pt idx="0">
                  <c:v>30-Oct</c:v>
                </c:pt>
                <c:pt idx="1">
                  <c:v>31-Oct</c:v>
                </c:pt>
                <c:pt idx="2">
                  <c:v>1-Nov</c:v>
                </c:pt>
                <c:pt idx="3">
                  <c:v>2-Nov</c:v>
                </c:pt>
                <c:pt idx="4">
                  <c:v>3-Nov</c:v>
                </c:pt>
                <c:pt idx="5">
                  <c:v>4-Nov</c:v>
                </c:pt>
                <c:pt idx="6">
                  <c:v>5-Nov</c:v>
                </c:pt>
                <c:pt idx="7">
                  <c:v>6-Nov</c:v>
                </c:pt>
                <c:pt idx="8">
                  <c:v>7-Nov</c:v>
                </c:pt>
                <c:pt idx="9">
                  <c:v>8-Nov</c:v>
                </c:pt>
              </c:strCache>
            </c:strRef>
          </c:cat>
          <c:val>
            <c:numRef>
              <c:f>bookingpivot!$G$4:$G$14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1-517A-4220-8FBD-4F809FE39FEB}"/>
            </c:ext>
          </c:extLst>
        </c:ser>
        <c:dLbls>
          <c:showLegendKey val="0"/>
          <c:showVal val="0"/>
          <c:showCatName val="0"/>
          <c:showSerName val="0"/>
          <c:showPercent val="0"/>
          <c:showBubbleSize val="0"/>
        </c:dLbls>
        <c:gapWidth val="150"/>
        <c:shape val="box"/>
        <c:axId val="1284510240"/>
        <c:axId val="1284499008"/>
        <c:axId val="0"/>
      </c:bar3DChart>
      <c:catAx>
        <c:axId val="128451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9008"/>
        <c:crosses val="autoZero"/>
        <c:auto val="1"/>
        <c:lblAlgn val="ctr"/>
        <c:lblOffset val="100"/>
        <c:noMultiLvlLbl val="0"/>
      </c:catAx>
      <c:valAx>
        <c:axId val="128449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510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[BookSmart.xlsx]bookingpivot!PivotTable3</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bookingpivot!$J$3</c:f>
              <c:strCache>
                <c:ptCount val="1"/>
                <c:pt idx="0">
                  <c:v>Total</c:v>
                </c:pt>
              </c:strCache>
            </c:strRef>
          </c:tx>
          <c:spPr>
            <a:solidFill>
              <a:schemeClr val="accent1"/>
            </a:solidFill>
            <a:ln>
              <a:noFill/>
            </a:ln>
            <a:effectLst/>
            <a:sp3d/>
          </c:spPr>
          <c:invertIfNegative val="0"/>
          <c:cat>
            <c:strRef>
              <c:f>bookingpivot!$I$4:$I$14</c:f>
              <c:strCache>
                <c:ptCount val="10"/>
                <c:pt idx="0">
                  <c:v>B001</c:v>
                </c:pt>
                <c:pt idx="1">
                  <c:v>B002</c:v>
                </c:pt>
                <c:pt idx="2">
                  <c:v>B003</c:v>
                </c:pt>
                <c:pt idx="3">
                  <c:v>B004</c:v>
                </c:pt>
                <c:pt idx="4">
                  <c:v>B005</c:v>
                </c:pt>
                <c:pt idx="5">
                  <c:v>B006</c:v>
                </c:pt>
                <c:pt idx="6">
                  <c:v>B007</c:v>
                </c:pt>
                <c:pt idx="7">
                  <c:v>B008</c:v>
                </c:pt>
                <c:pt idx="8">
                  <c:v>B009</c:v>
                </c:pt>
                <c:pt idx="9">
                  <c:v>B010</c:v>
                </c:pt>
              </c:strCache>
            </c:strRef>
          </c:cat>
          <c:val>
            <c:numRef>
              <c:f>bookingpivot!$J$4:$J$14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0-F4EA-412D-9350-BE9674141009}"/>
            </c:ext>
          </c:extLst>
        </c:ser>
        <c:dLbls>
          <c:showLegendKey val="0"/>
          <c:showVal val="0"/>
          <c:showCatName val="0"/>
          <c:showSerName val="0"/>
          <c:showPercent val="0"/>
          <c:showBubbleSize val="0"/>
        </c:dLbls>
        <c:gapWidth val="150"/>
        <c:shape val="box"/>
        <c:axId val="1284497344"/>
        <c:axId val="1284496928"/>
        <c:axId val="0"/>
      </c:bar3DChart>
      <c:catAx>
        <c:axId val="128449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6928"/>
        <c:crosses val="autoZero"/>
        <c:auto val="1"/>
        <c:lblAlgn val="ctr"/>
        <c:lblOffset val="100"/>
        <c:noMultiLvlLbl val="0"/>
      </c:catAx>
      <c:valAx>
        <c:axId val="12844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7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[BookSmart.xlsx]bookingpivot!PivotTable4</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bookingpivot!$M$3</c:f>
              <c:strCache>
                <c:ptCount val="1"/>
                <c:pt idx="0">
                  <c:v>Total</c:v>
                </c:pt>
              </c:strCache>
            </c:strRef>
          </c:tx>
          <c:spPr>
            <a:solidFill>
              <a:schemeClr val="accent1"/>
            </a:solidFill>
            <a:ln>
              <a:noFill/>
            </a:ln>
            <a:effectLst/>
            <a:sp3d/>
          </c:spPr>
          <c:invertIfNegative val="0"/>
          <c:cat>
            <c:strRef>
              <c:f>bookingpivot!$L$4:$L$14</c:f>
              <c:strCache>
                <c:ptCount val="10"/>
                <c:pt idx="0">
                  <c:v>S101</c:v>
                </c:pt>
                <c:pt idx="1">
                  <c:v>S102</c:v>
                </c:pt>
                <c:pt idx="2">
                  <c:v>S103</c:v>
                </c:pt>
                <c:pt idx="3">
                  <c:v>S104</c:v>
                </c:pt>
                <c:pt idx="4">
                  <c:v>S105</c:v>
                </c:pt>
                <c:pt idx="5">
                  <c:v>S106</c:v>
                </c:pt>
                <c:pt idx="6">
                  <c:v>S107</c:v>
                </c:pt>
                <c:pt idx="7">
                  <c:v>S108</c:v>
                </c:pt>
                <c:pt idx="8">
                  <c:v>S109</c:v>
                </c:pt>
                <c:pt idx="9">
                  <c:v>S110</c:v>
                </c:pt>
              </c:strCache>
            </c:strRef>
          </c:cat>
          <c:val>
            <c:numRef>
              <c:f>bookingpivot!$M$4:$M$14</c:f>
              <c:numCache>
                <c:formatCode>General</c:formatCode>
                <c:ptCount val="10"/>
                <c:pt idx="0">
                  <c:v>3</c:v>
                </c:pt>
                <c:pt idx="1">
                  <c:v>2</c:v>
                </c:pt>
                <c:pt idx="2">
                  <c:v>5</c:v>
                </c:pt>
                <c:pt idx="3">
                  <c:v>4</c:v>
                </c:pt>
                <c:pt idx="4">
                  <c:v>3</c:v>
                </c:pt>
                <c:pt idx="5">
                  <c:v>5</c:v>
                </c:pt>
                <c:pt idx="6">
                  <c:v>1</c:v>
                </c:pt>
                <c:pt idx="7">
                  <c:v>4</c:v>
                </c:pt>
                <c:pt idx="8">
                  <c:v>5</c:v>
                </c:pt>
                <c:pt idx="9">
                  <c:v>7</c:v>
                </c:pt>
              </c:numCache>
            </c:numRef>
          </c:val>
          <c:extLst>
            <c:ext xmlns:c16="http://schemas.microsoft.com/office/drawing/2014/chart" uri="{C3380CC4-5D6E-409C-BE32-E72D297353CC}">
              <c16:uniqueId val="{00000000-E212-44E9-A434-6413580251B4}"/>
            </c:ext>
          </c:extLst>
        </c:ser>
        <c:dLbls>
          <c:showLegendKey val="0"/>
          <c:showVal val="0"/>
          <c:showCatName val="0"/>
          <c:showSerName val="0"/>
          <c:showPercent val="0"/>
          <c:showBubbleSize val="0"/>
        </c:dLbls>
        <c:gapWidth val="150"/>
        <c:shape val="box"/>
        <c:axId val="1273462928"/>
        <c:axId val="1273454608"/>
        <c:axId val="0"/>
      </c:bar3DChart>
      <c:catAx>
        <c:axId val="127346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54608"/>
        <c:crosses val="autoZero"/>
        <c:auto val="1"/>
        <c:lblAlgn val="ctr"/>
        <c:lblOffset val="100"/>
        <c:noMultiLvlLbl val="0"/>
      </c:catAx>
      <c:valAx>
        <c:axId val="12734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62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3</xdr:col>
      <xdr:colOff>0</xdr:colOff>
      <xdr:row>13</xdr:row>
      <xdr:rowOff>123825</xdr:rowOff>
    </xdr:to>
    <mc:AlternateContent xmlns:mc="http://schemas.openxmlformats.org/markup-compatibility/2006" xmlns:a14="http://schemas.microsoft.com/office/drawing/2010/main">
      <mc:Choice Requires="a14">
        <xdr:graphicFrame macro="">
          <xdr:nvGraphicFramePr>
            <xdr:cNvPr id="8" name="Movie_ID 1"/>
            <xdr:cNvGraphicFramePr/>
          </xdr:nvGraphicFramePr>
          <xdr:xfrm>
            <a:off x="0" y="0"/>
            <a:ext cx="0" cy="0"/>
          </xdr:xfrm>
          <a:graphic>
            <a:graphicData uri="http://schemas.microsoft.com/office/drawing/2010/slicer">
              <sle:slicer xmlns:sle="http://schemas.microsoft.com/office/drawing/2010/slicer" name="Movie_ID 1"/>
            </a:graphicData>
          </a:graphic>
        </xdr:graphicFrame>
      </mc:Choice>
      <mc:Fallback xmlns="">
        <xdr:sp macro="" textlink="">
          <xdr:nvSpPr>
            <xdr:cNvPr id="0" name=""/>
            <xdr:cNvSpPr>
              <a:spLocks noTextEdit="1"/>
            </xdr:cNvSpPr>
          </xdr:nvSpPr>
          <xdr:spPr>
            <a:xfrm>
              <a:off x="0" y="76200"/>
              <a:ext cx="183873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0</xdr:row>
      <xdr:rowOff>171450</xdr:rowOff>
    </xdr:from>
    <xdr:to>
      <xdr:col>5</xdr:col>
      <xdr:colOff>533400</xdr:colOff>
      <xdr:row>14</xdr:row>
      <xdr:rowOff>28575</xdr:rowOff>
    </xdr:to>
    <mc:AlternateContent xmlns:mc="http://schemas.openxmlformats.org/markup-compatibility/2006" xmlns:a14="http://schemas.microsoft.com/office/drawing/2010/main">
      <mc:Choice Requires="a14">
        <xdr:graphicFrame macro="">
          <xdr:nvGraphicFramePr>
            <xdr:cNvPr id="9" name="Movie_Name 1"/>
            <xdr:cNvGraphicFramePr/>
          </xdr:nvGraphicFramePr>
          <xdr:xfrm>
            <a:off x="0" y="0"/>
            <a:ext cx="0" cy="0"/>
          </xdr:xfrm>
          <a:graphic>
            <a:graphicData uri="http://schemas.microsoft.com/office/drawing/2010/slicer">
              <sle:slicer xmlns:sle="http://schemas.microsoft.com/office/drawing/2010/slicer" name="Movie_Name 1"/>
            </a:graphicData>
          </a:graphic>
        </xdr:graphicFrame>
      </mc:Choice>
      <mc:Fallback xmlns="">
        <xdr:sp macro="" textlink="">
          <xdr:nvSpPr>
            <xdr:cNvPr id="0" name=""/>
            <xdr:cNvSpPr>
              <a:spLocks noTextEdit="1"/>
            </xdr:cNvSpPr>
          </xdr:nvSpPr>
          <xdr:spPr>
            <a:xfrm>
              <a:off x="1759226" y="171450"/>
              <a:ext cx="183873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1</xdr:row>
      <xdr:rowOff>28575</xdr:rowOff>
    </xdr:from>
    <xdr:to>
      <xdr:col>8</xdr:col>
      <xdr:colOff>514350</xdr:colOff>
      <xdr:row>14</xdr:row>
      <xdr:rowOff>76200</xdr:rowOff>
    </xdr:to>
    <mc:AlternateContent xmlns:mc="http://schemas.openxmlformats.org/markup-compatibility/2006" xmlns:a14="http://schemas.microsoft.com/office/drawing/2010/main">
      <mc:Choice Requires="a14">
        <xdr:graphicFrame macro="">
          <xdr:nvGraphicFramePr>
            <xdr:cNvPr id="10" name="Genre 1"/>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3578915" y="219075"/>
              <a:ext cx="183873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171450</xdr:colOff>
      <xdr:row>1</xdr:row>
      <xdr:rowOff>57150</xdr:rowOff>
    </xdr:from>
    <xdr:to>
      <xdr:col>12</xdr:col>
      <xdr:colOff>171450</xdr:colOff>
      <xdr:row>14</xdr:row>
      <xdr:rowOff>104775</xdr:rowOff>
    </xdr:to>
    <mc:AlternateContent xmlns:mc="http://schemas.openxmlformats.org/markup-compatibility/2006" xmlns:a14="http://schemas.microsoft.com/office/drawing/2010/main">
      <mc:Choice Requires="a14">
        <xdr:graphicFrame macro="">
          <xdr:nvGraphicFramePr>
            <xdr:cNvPr id="11" name="Duration 1"/>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mlns="">
        <xdr:sp macro="" textlink="">
          <xdr:nvSpPr>
            <xdr:cNvPr id="0" name=""/>
            <xdr:cNvSpPr>
              <a:spLocks noTextEdit="1"/>
            </xdr:cNvSpPr>
          </xdr:nvSpPr>
          <xdr:spPr>
            <a:xfrm>
              <a:off x="5687667" y="247650"/>
              <a:ext cx="183874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xdr:colOff>
      <xdr:row>1</xdr:row>
      <xdr:rowOff>66675</xdr:rowOff>
    </xdr:from>
    <xdr:to>
      <xdr:col>16</xdr:col>
      <xdr:colOff>47625</xdr:colOff>
      <xdr:row>14</xdr:row>
      <xdr:rowOff>114300</xdr:rowOff>
    </xdr:to>
    <mc:AlternateContent xmlns:mc="http://schemas.openxmlformats.org/markup-compatibility/2006" xmlns:a14="http://schemas.microsoft.com/office/drawing/2010/main">
      <mc:Choice Requires="a14">
        <xdr:graphicFrame macro="">
          <xdr:nvGraphicFramePr>
            <xdr:cNvPr id="12" name="Rating 2"/>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8015495" y="257175"/>
              <a:ext cx="183873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322489</xdr:colOff>
      <xdr:row>1</xdr:row>
      <xdr:rowOff>9525</xdr:rowOff>
    </xdr:from>
    <xdr:to>
      <xdr:col>19</xdr:col>
      <xdr:colOff>322489</xdr:colOff>
      <xdr:row>14</xdr:row>
      <xdr:rowOff>57150</xdr:rowOff>
    </xdr:to>
    <mc:AlternateContent xmlns:mc="http://schemas.openxmlformats.org/markup-compatibility/2006" xmlns:a14="http://schemas.microsoft.com/office/drawing/2010/main">
      <mc:Choice Requires="a14">
        <xdr:graphicFrame macro="">
          <xdr:nvGraphicFramePr>
            <xdr:cNvPr id="13" name="language 1"/>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mlns="">
        <xdr:sp macro="" textlink="">
          <xdr:nvSpPr>
            <xdr:cNvPr id="0" name=""/>
            <xdr:cNvSpPr>
              <a:spLocks noTextEdit="1"/>
            </xdr:cNvSpPr>
          </xdr:nvSpPr>
          <xdr:spPr>
            <a:xfrm>
              <a:off x="10129098" y="200025"/>
              <a:ext cx="183873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609599</xdr:colOff>
      <xdr:row>18</xdr:row>
      <xdr:rowOff>190499</xdr:rowOff>
    </xdr:from>
    <xdr:to>
      <xdr:col>17</xdr:col>
      <xdr:colOff>9524</xdr:colOff>
      <xdr:row>34</xdr:row>
      <xdr:rowOff>180974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486024" cy="1485900"/>
    <mc:AlternateContent xmlns:mc="http://schemas.openxmlformats.org/markup-compatibility/2006" xmlns:a14="http://schemas.microsoft.com/office/drawing/2010/main">
      <mc:Choice Requires="a14">
        <xdr:graphicFrame macro="">
          <xdr:nvGraphicFramePr>
            <xdr:cNvPr id="2" name="Movie_Name"/>
            <xdr:cNvGraphicFramePr/>
          </xdr:nvGraphicFramePr>
          <xdr:xfrm>
            <a:off x="0" y="0"/>
            <a:ext cx="0" cy="0"/>
          </xdr:xfrm>
          <a:graphic>
            <a:graphicData uri="http://schemas.microsoft.com/office/drawing/2010/slicer">
              <sle:slicer xmlns:sle="http://schemas.microsoft.com/office/drawing/2010/slicer" name="Movie_Name"/>
            </a:graphicData>
          </a:graphic>
        </xdr:graphicFrame>
      </mc:Choice>
      <mc:Fallback xmlns="">
        <xdr:sp macro="" textlink="">
          <xdr:nvSpPr>
            <xdr:cNvPr id="0" name=""/>
            <xdr:cNvSpPr>
              <a:spLocks noTextEdit="1"/>
            </xdr:cNvSpPr>
          </xdr:nvSpPr>
          <xdr:spPr>
            <a:xfrm>
              <a:off x="0" y="0"/>
              <a:ext cx="2486024"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152399</xdr:colOff>
      <xdr:row>0</xdr:row>
      <xdr:rowOff>28576</xdr:rowOff>
    </xdr:from>
    <xdr:ext cx="1857375" cy="1295400"/>
    <mc:AlternateContent xmlns:mc="http://schemas.openxmlformats.org/markup-compatibility/2006" xmlns:a14="http://schemas.microsoft.com/office/drawing/2010/main">
      <mc:Choice Requires="a14">
        <xdr:graphicFrame macro="">
          <xdr:nvGraphicFramePr>
            <xdr:cNvPr id="3" name="Genre"/>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572870" y="28576"/>
              <a:ext cx="18573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7</xdr:col>
      <xdr:colOff>276225</xdr:colOff>
      <xdr:row>0</xdr:row>
      <xdr:rowOff>0</xdr:rowOff>
    </xdr:from>
    <xdr:ext cx="1828800" cy="1228725"/>
    <mc:AlternateContent xmlns:mc="http://schemas.openxmlformats.org/markup-compatibility/2006" xmlns:a14="http://schemas.microsoft.com/office/drawing/2010/main">
      <mc:Choice Requires="a14">
        <xdr:graphicFrame macro="">
          <xdr:nvGraphicFramePr>
            <xdr:cNvPr id="4" name="Duration"/>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mlns="">
        <xdr:sp macro="" textlink="">
          <xdr:nvSpPr>
            <xdr:cNvPr id="0" name=""/>
            <xdr:cNvSpPr>
              <a:spLocks noTextEdit="1"/>
            </xdr:cNvSpPr>
          </xdr:nvSpPr>
          <xdr:spPr>
            <a:xfrm>
              <a:off x="4512049" y="0"/>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371475</xdr:colOff>
      <xdr:row>0</xdr:row>
      <xdr:rowOff>1</xdr:rowOff>
    </xdr:from>
    <xdr:ext cx="1790700" cy="1276350"/>
    <mc:AlternateContent xmlns:mc="http://schemas.openxmlformats.org/markup-compatibility/2006" xmlns:a14="http://schemas.microsoft.com/office/drawing/2010/main">
      <mc:Choice Requires="a14">
        <xdr:graphicFrame macro="">
          <xdr:nvGraphicFramePr>
            <xdr:cNvPr id="5"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422651" y="1"/>
              <a:ext cx="17907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428625</xdr:colOff>
      <xdr:row>0</xdr:row>
      <xdr:rowOff>0</xdr:rowOff>
    </xdr:from>
    <xdr:ext cx="1828800" cy="1171575"/>
    <mc:AlternateContent xmlns:mc="http://schemas.openxmlformats.org/markup-compatibility/2006" xmlns:a14="http://schemas.microsoft.com/office/drawing/2010/main">
      <mc:Choice Requires="a14">
        <xdr:graphicFrame macro="">
          <xdr:nvGraphicFramePr>
            <xdr:cNvPr id="6" name="language"/>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8295154" y="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9</xdr:col>
      <xdr:colOff>448235</xdr:colOff>
      <xdr:row>1</xdr:row>
      <xdr:rowOff>67235</xdr:rowOff>
    </xdr:from>
    <xdr:to>
      <xdr:col>16</xdr:col>
      <xdr:colOff>398371</xdr:colOff>
      <xdr:row>15</xdr:row>
      <xdr:rowOff>145676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437030</xdr:colOff>
      <xdr:row>16</xdr:row>
      <xdr:rowOff>111499</xdr:rowOff>
    </xdr:from>
    <xdr:to>
      <xdr:col>16</xdr:col>
      <xdr:colOff>368675</xdr:colOff>
      <xdr:row>31</xdr:row>
      <xdr:rowOff>134471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509308</xdr:colOff>
      <xdr:row>16</xdr:row>
      <xdr:rowOff>91326</xdr:rowOff>
    </xdr:from>
    <xdr:to>
      <xdr:col>24</xdr:col>
      <xdr:colOff>179294</xdr:colOff>
      <xdr:row>31</xdr:row>
      <xdr:rowOff>145675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515470</xdr:colOff>
      <xdr:row>1</xdr:row>
      <xdr:rowOff>67236</xdr:rowOff>
    </xdr:from>
    <xdr:to>
      <xdr:col>24</xdr:col>
      <xdr:colOff>156881</xdr:colOff>
      <xdr:row>16</xdr:row>
      <xdr:rowOff>22414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552450</xdr:colOff>
      <xdr:row>9</xdr:row>
      <xdr:rowOff>66675</xdr:rowOff>
    </xdr:to>
    <mc:AlternateContent xmlns:mc="http://schemas.openxmlformats.org/markup-compatibility/2006" xmlns:a14="http://schemas.microsoft.com/office/drawing/2010/main">
      <mc:Choice Requires="a14">
        <xdr:graphicFrame macro="">
          <xdr:nvGraphicFramePr>
            <xdr:cNvPr id="2" name="Theater_Name"/>
            <xdr:cNvGraphicFramePr/>
          </xdr:nvGraphicFramePr>
          <xdr:xfrm>
            <a:off x="0" y="0"/>
            <a:ext cx="0" cy="0"/>
          </xdr:xfrm>
          <a:graphic>
            <a:graphicData uri="http://schemas.microsoft.com/office/drawing/2010/slicer">
              <sle:slicer xmlns:sle="http://schemas.microsoft.com/office/drawing/2010/slicer" name="Theater_Name"/>
            </a:graphicData>
          </a:graphic>
        </xdr:graphicFrame>
      </mc:Choice>
      <mc:Fallback xmlns="">
        <xdr:sp macro="" textlink="">
          <xdr:nvSpPr>
            <xdr:cNvPr id="0" name=""/>
            <xdr:cNvSpPr>
              <a:spLocks noTextEdit="1"/>
            </xdr:cNvSpPr>
          </xdr:nvSpPr>
          <xdr:spPr>
            <a:xfrm>
              <a:off x="0" y="0"/>
              <a:ext cx="177165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0</xdr:row>
      <xdr:rowOff>1</xdr:rowOff>
    </xdr:from>
    <xdr:to>
      <xdr:col>5</xdr:col>
      <xdr:colOff>590550</xdr:colOff>
      <xdr:row>9</xdr:row>
      <xdr:rowOff>38101</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71650" y="1"/>
              <a:ext cx="18669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590550</xdr:colOff>
      <xdr:row>0</xdr:row>
      <xdr:rowOff>0</xdr:rowOff>
    </xdr:from>
    <xdr:to>
      <xdr:col>8</xdr:col>
      <xdr:colOff>523875</xdr:colOff>
      <xdr:row>8</xdr:row>
      <xdr:rowOff>142875</xdr:rowOff>
    </xdr:to>
    <mc:AlternateContent xmlns:mc="http://schemas.openxmlformats.org/markup-compatibility/2006" xmlns:a14="http://schemas.microsoft.com/office/drawing/2010/main">
      <mc:Choice Requires="a14">
        <xdr:graphicFrame macro="">
          <xdr:nvGraphicFramePr>
            <xdr:cNvPr id="4" name="Capacity"/>
            <xdr:cNvGraphicFramePr/>
          </xdr:nvGraphicFramePr>
          <xdr:xfrm>
            <a:off x="0" y="0"/>
            <a:ext cx="0" cy="0"/>
          </xdr:xfrm>
          <a:graphic>
            <a:graphicData uri="http://schemas.microsoft.com/office/drawing/2010/slicer">
              <sle:slicer xmlns:sle="http://schemas.microsoft.com/office/drawing/2010/slicer" name="Capacity"/>
            </a:graphicData>
          </a:graphic>
        </xdr:graphicFrame>
      </mc:Choice>
      <mc:Fallback xmlns="">
        <xdr:sp macro="" textlink="">
          <xdr:nvSpPr>
            <xdr:cNvPr id="0" name=""/>
            <xdr:cNvSpPr>
              <a:spLocks noTextEdit="1"/>
            </xdr:cNvSpPr>
          </xdr:nvSpPr>
          <xdr:spPr>
            <a:xfrm>
              <a:off x="3638550" y="0"/>
              <a:ext cx="1762125"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0</xdr:row>
      <xdr:rowOff>0</xdr:rowOff>
    </xdr:from>
    <xdr:to>
      <xdr:col>11</xdr:col>
      <xdr:colOff>514350</xdr:colOff>
      <xdr:row>8</xdr:row>
      <xdr:rowOff>104775</xdr:rowOff>
    </xdr:to>
    <mc:AlternateContent xmlns:mc="http://schemas.openxmlformats.org/markup-compatibility/2006" xmlns:a14="http://schemas.microsoft.com/office/drawing/2010/main">
      <mc:Choice Requires="a14">
        <xdr:graphicFrame macro="">
          <xdr:nvGraphicFramePr>
            <xdr:cNvPr id="5" name="Screens"/>
            <xdr:cNvGraphicFramePr/>
          </xdr:nvGraphicFramePr>
          <xdr:xfrm>
            <a:off x="0" y="0"/>
            <a:ext cx="0" cy="0"/>
          </xdr:xfrm>
          <a:graphic>
            <a:graphicData uri="http://schemas.microsoft.com/office/drawing/2010/slicer">
              <sle:slicer xmlns:sle="http://schemas.microsoft.com/office/drawing/2010/slicer" name="Screens"/>
            </a:graphicData>
          </a:graphic>
        </xdr:graphicFrame>
      </mc:Choice>
      <mc:Fallback xmlns="">
        <xdr:sp macro="" textlink="">
          <xdr:nvSpPr>
            <xdr:cNvPr id="0" name=""/>
            <xdr:cNvSpPr>
              <a:spLocks noTextEdit="1"/>
            </xdr:cNvSpPr>
          </xdr:nvSpPr>
          <xdr:spPr>
            <a:xfrm>
              <a:off x="5400675" y="0"/>
              <a:ext cx="1819275"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0</xdr:row>
      <xdr:rowOff>9525</xdr:rowOff>
    </xdr:from>
    <xdr:to>
      <xdr:col>14</xdr:col>
      <xdr:colOff>504825</xdr:colOff>
      <xdr:row>8</xdr:row>
      <xdr:rowOff>95250</xdr:rowOff>
    </xdr:to>
    <mc:AlternateContent xmlns:mc="http://schemas.openxmlformats.org/markup-compatibility/2006" xmlns:a14="http://schemas.microsoft.com/office/drawing/2010/main">
      <mc:Choice Requires="a14">
        <xdr:graphicFrame macro="">
          <xdr:nvGraphicFramePr>
            <xdr:cNvPr id="6"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239000" y="9525"/>
              <a:ext cx="1800225"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561975</xdr:colOff>
      <xdr:row>0</xdr:row>
      <xdr:rowOff>1</xdr:rowOff>
    </xdr:from>
    <xdr:to>
      <xdr:col>17</xdr:col>
      <xdr:colOff>476250</xdr:colOff>
      <xdr:row>8</xdr:row>
      <xdr:rowOff>57151</xdr:rowOff>
    </xdr:to>
    <mc:AlternateContent xmlns:mc="http://schemas.openxmlformats.org/markup-compatibility/2006" xmlns:a14="http://schemas.microsoft.com/office/drawing/2010/main">
      <mc:Choice Requires="a14">
        <xdr:graphicFrame macro="">
          <xdr:nvGraphicFramePr>
            <xdr:cNvPr id="7"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9096375" y="1"/>
              <a:ext cx="1743075"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342900</xdr:colOff>
      <xdr:row>9</xdr:row>
      <xdr:rowOff>171450</xdr:rowOff>
    </xdr:from>
    <xdr:to>
      <xdr:col>9</xdr:col>
      <xdr:colOff>304800</xdr:colOff>
      <xdr:row>23</xdr:row>
      <xdr:rowOff>180975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9</xdr:row>
      <xdr:rowOff>142875</xdr:rowOff>
    </xdr:from>
    <xdr:to>
      <xdr:col>19</xdr:col>
      <xdr:colOff>0</xdr:colOff>
      <xdr:row>24</xdr:row>
      <xdr:rowOff>28575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47626</xdr:rowOff>
    </xdr:from>
    <xdr:to>
      <xdr:col>3</xdr:col>
      <xdr:colOff>9525</xdr:colOff>
      <xdr:row>7</xdr:row>
      <xdr:rowOff>142876</xdr:rowOff>
    </xdr:to>
    <mc:AlternateContent xmlns:mc="http://schemas.openxmlformats.org/markup-compatibility/2006" xmlns:a14="http://schemas.microsoft.com/office/drawing/2010/main">
      <mc:Choice Requires="a14">
        <xdr:graphicFrame macro="">
          <xdr:nvGraphicFramePr>
            <xdr:cNvPr id="2" name="Show_ID"/>
            <xdr:cNvGraphicFramePr/>
          </xdr:nvGraphicFramePr>
          <xdr:xfrm>
            <a:off x="0" y="0"/>
            <a:ext cx="0" cy="0"/>
          </xdr:xfrm>
          <a:graphic>
            <a:graphicData uri="http://schemas.microsoft.com/office/drawing/2010/slicer">
              <sle:slicer xmlns:sle="http://schemas.microsoft.com/office/drawing/2010/slicer" name="Show_ID"/>
            </a:graphicData>
          </a:graphic>
        </xdr:graphicFrame>
      </mc:Choice>
      <mc:Fallback xmlns="">
        <xdr:sp macro="" textlink="">
          <xdr:nvSpPr>
            <xdr:cNvPr id="0" name=""/>
            <xdr:cNvSpPr>
              <a:spLocks noTextEdit="1"/>
            </xdr:cNvSpPr>
          </xdr:nvSpPr>
          <xdr:spPr>
            <a:xfrm>
              <a:off x="19050" y="47626"/>
              <a:ext cx="1812131"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104774</xdr:colOff>
      <xdr:row>0</xdr:row>
      <xdr:rowOff>38101</xdr:rowOff>
    </xdr:from>
    <xdr:to>
      <xdr:col>6</xdr:col>
      <xdr:colOff>152399</xdr:colOff>
      <xdr:row>8</xdr:row>
      <xdr:rowOff>9525</xdr:rowOff>
    </xdr:to>
    <mc:AlternateContent xmlns:mc="http://schemas.openxmlformats.org/markup-compatibility/2006" xmlns:a14="http://schemas.microsoft.com/office/drawing/2010/main">
      <mc:Choice Requires="a14">
        <xdr:graphicFrame macro="">
          <xdr:nvGraphicFramePr>
            <xdr:cNvPr id="3" name="Movie_ID"/>
            <xdr:cNvGraphicFramePr/>
          </xdr:nvGraphicFramePr>
          <xdr:xfrm>
            <a:off x="0" y="0"/>
            <a:ext cx="0" cy="0"/>
          </xdr:xfrm>
          <a:graphic>
            <a:graphicData uri="http://schemas.microsoft.com/office/drawing/2010/slicer">
              <sle:slicer xmlns:sle="http://schemas.microsoft.com/office/drawing/2010/slicer" name="Movie_ID"/>
            </a:graphicData>
          </a:graphic>
        </xdr:graphicFrame>
      </mc:Choice>
      <mc:Fallback xmlns="">
        <xdr:sp macro="" textlink="">
          <xdr:nvSpPr>
            <xdr:cNvPr id="0" name=""/>
            <xdr:cNvSpPr>
              <a:spLocks noTextEdit="1"/>
            </xdr:cNvSpPr>
          </xdr:nvSpPr>
          <xdr:spPr>
            <a:xfrm>
              <a:off x="1926430" y="38101"/>
              <a:ext cx="1869282"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0</xdr:row>
      <xdr:rowOff>9525</xdr:rowOff>
    </xdr:from>
    <xdr:to>
      <xdr:col>9</xdr:col>
      <xdr:colOff>171450</xdr:colOff>
      <xdr:row>8</xdr:row>
      <xdr:rowOff>19050</xdr:rowOff>
    </xdr:to>
    <mc:AlternateContent xmlns:mc="http://schemas.openxmlformats.org/markup-compatibility/2006" xmlns:a14="http://schemas.microsoft.com/office/drawing/2010/main">
      <mc:Choice Requires="a14">
        <xdr:graphicFrame macro="">
          <xdr:nvGraphicFramePr>
            <xdr:cNvPr id="4" name="Theater_ID"/>
            <xdr:cNvGraphicFramePr/>
          </xdr:nvGraphicFramePr>
          <xdr:xfrm>
            <a:off x="0" y="0"/>
            <a:ext cx="0" cy="0"/>
          </xdr:xfrm>
          <a:graphic>
            <a:graphicData uri="http://schemas.microsoft.com/office/drawing/2010/slicer">
              <sle:slicer xmlns:sle="http://schemas.microsoft.com/office/drawing/2010/slicer" name="Theater_ID"/>
            </a:graphicData>
          </a:graphic>
        </xdr:graphicFrame>
      </mc:Choice>
      <mc:Fallback xmlns="">
        <xdr:sp macro="" textlink="">
          <xdr:nvSpPr>
            <xdr:cNvPr id="0" name=""/>
            <xdr:cNvSpPr>
              <a:spLocks noTextEdit="1"/>
            </xdr:cNvSpPr>
          </xdr:nvSpPr>
          <xdr:spPr>
            <a:xfrm>
              <a:off x="3833813" y="9525"/>
              <a:ext cx="1802606"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228599</xdr:colOff>
      <xdr:row>0</xdr:row>
      <xdr:rowOff>28576</xdr:rowOff>
    </xdr:from>
    <xdr:to>
      <xdr:col>12</xdr:col>
      <xdr:colOff>390524</xdr:colOff>
      <xdr:row>7</xdr:row>
      <xdr:rowOff>180976</xdr:rowOff>
    </xdr:to>
    <mc:AlternateContent xmlns:mc="http://schemas.openxmlformats.org/markup-compatibility/2006" xmlns:a14="http://schemas.microsoft.com/office/drawing/2010/main">
      <mc:Choice Requires="a14">
        <xdr:graphicFrame macro="">
          <xdr:nvGraphicFramePr>
            <xdr:cNvPr id="5" name="Show_Date"/>
            <xdr:cNvGraphicFramePr/>
          </xdr:nvGraphicFramePr>
          <xdr:xfrm>
            <a:off x="0" y="0"/>
            <a:ext cx="0" cy="0"/>
          </xdr:xfrm>
          <a:graphic>
            <a:graphicData uri="http://schemas.microsoft.com/office/drawing/2010/slicer">
              <sle:slicer xmlns:sle="http://schemas.microsoft.com/office/drawing/2010/slicer" name="Show_Date"/>
            </a:graphicData>
          </a:graphic>
        </xdr:graphicFrame>
      </mc:Choice>
      <mc:Fallback xmlns="">
        <xdr:sp macro="" textlink="">
          <xdr:nvSpPr>
            <xdr:cNvPr id="0" name=""/>
            <xdr:cNvSpPr>
              <a:spLocks noTextEdit="1"/>
            </xdr:cNvSpPr>
          </xdr:nvSpPr>
          <xdr:spPr>
            <a:xfrm>
              <a:off x="5693568" y="28576"/>
              <a:ext cx="1983581"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0</xdr:row>
      <xdr:rowOff>19051</xdr:rowOff>
    </xdr:from>
    <xdr:to>
      <xdr:col>15</xdr:col>
      <xdr:colOff>514350</xdr:colOff>
      <xdr:row>6</xdr:row>
      <xdr:rowOff>152401</xdr:rowOff>
    </xdr:to>
    <mc:AlternateContent xmlns:mc="http://schemas.openxmlformats.org/markup-compatibility/2006" xmlns:a14="http://schemas.microsoft.com/office/drawing/2010/main">
      <mc:Choice Requires="a14">
        <xdr:graphicFrame macro="">
          <xdr:nvGraphicFramePr>
            <xdr:cNvPr id="6" name="Show_Time"/>
            <xdr:cNvGraphicFramePr/>
          </xdr:nvGraphicFramePr>
          <xdr:xfrm>
            <a:off x="0" y="0"/>
            <a:ext cx="0" cy="0"/>
          </xdr:xfrm>
          <a:graphic>
            <a:graphicData uri="http://schemas.microsoft.com/office/drawing/2010/slicer">
              <sle:slicer xmlns:sle="http://schemas.microsoft.com/office/drawing/2010/slicer" name="Show_Time"/>
            </a:graphicData>
          </a:graphic>
        </xdr:graphicFrame>
      </mc:Choice>
      <mc:Fallback xmlns="">
        <xdr:sp macro="" textlink="">
          <xdr:nvSpPr>
            <xdr:cNvPr id="0" name=""/>
            <xdr:cNvSpPr>
              <a:spLocks noTextEdit="1"/>
            </xdr:cNvSpPr>
          </xdr:nvSpPr>
          <xdr:spPr>
            <a:xfrm>
              <a:off x="7800975" y="19051"/>
              <a:ext cx="1821656"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9</xdr:row>
      <xdr:rowOff>0</xdr:rowOff>
    </xdr:from>
    <xdr:to>
      <xdr:col>7</xdr:col>
      <xdr:colOff>66675</xdr:colOff>
      <xdr:row>20</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xdr:colOff>
      <xdr:row>9</xdr:row>
      <xdr:rowOff>0</xdr:rowOff>
    </xdr:from>
    <xdr:to>
      <xdr:col>13</xdr:col>
      <xdr:colOff>38100</xdr:colOff>
      <xdr:row>20</xdr:row>
      <xdr:rowOff>57150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xdr:row>
      <xdr:rowOff>0</xdr:rowOff>
    </xdr:from>
    <xdr:to>
      <xdr:col>18</xdr:col>
      <xdr:colOff>209550</xdr:colOff>
      <xdr:row>19</xdr:row>
      <xdr:rowOff>161925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285749</xdr:colOff>
      <xdr:row>9</xdr:row>
      <xdr:rowOff>1</xdr:rowOff>
    </xdr:from>
    <xdr:to>
      <xdr:col>24</xdr:col>
      <xdr:colOff>440531</xdr:colOff>
      <xdr:row>18</xdr:row>
      <xdr:rowOff>107157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9525</xdr:rowOff>
    </xdr:from>
    <xdr:to>
      <xdr:col>2</xdr:col>
      <xdr:colOff>561975</xdr:colOff>
      <xdr:row>7</xdr:row>
      <xdr:rowOff>152400</xdr:rowOff>
    </xdr:to>
    <mc:AlternateContent xmlns:mc="http://schemas.openxmlformats.org/markup-compatibility/2006" xmlns:a14="http://schemas.microsoft.com/office/drawing/2010/main">
      <mc:Choice Requires="a14">
        <xdr:graphicFrame macro="">
          <xdr:nvGraphicFramePr>
            <xdr:cNvPr id="2" name="Booking_ID"/>
            <xdr:cNvGraphicFramePr/>
          </xdr:nvGraphicFramePr>
          <xdr:xfrm>
            <a:off x="0" y="0"/>
            <a:ext cx="0" cy="0"/>
          </xdr:xfrm>
          <a:graphic>
            <a:graphicData uri="http://schemas.microsoft.com/office/drawing/2010/slicer">
              <sle:slicer xmlns:sle="http://schemas.microsoft.com/office/drawing/2010/slicer" name="Booking_ID"/>
            </a:graphicData>
          </a:graphic>
        </xdr:graphicFrame>
      </mc:Choice>
      <mc:Fallback xmlns="">
        <xdr:sp macro="" textlink="">
          <xdr:nvSpPr>
            <xdr:cNvPr id="0" name=""/>
            <xdr:cNvSpPr>
              <a:spLocks noTextEdit="1"/>
            </xdr:cNvSpPr>
          </xdr:nvSpPr>
          <xdr:spPr>
            <a:xfrm>
              <a:off x="57150" y="9525"/>
              <a:ext cx="1732492"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0</xdr:row>
      <xdr:rowOff>1</xdr:rowOff>
    </xdr:from>
    <xdr:to>
      <xdr:col>5</xdr:col>
      <xdr:colOff>476250</xdr:colOff>
      <xdr:row>7</xdr:row>
      <xdr:rowOff>95251</xdr:rowOff>
    </xdr:to>
    <mc:AlternateContent xmlns:mc="http://schemas.openxmlformats.org/markup-compatibility/2006" xmlns:a14="http://schemas.microsoft.com/office/drawing/2010/main">
      <mc:Choice Requires="a14">
        <xdr:graphicFrame macro="">
          <xdr:nvGraphicFramePr>
            <xdr:cNvPr id="3" name="Show_ID 1"/>
            <xdr:cNvGraphicFramePr/>
          </xdr:nvGraphicFramePr>
          <xdr:xfrm>
            <a:off x="0" y="0"/>
            <a:ext cx="0" cy="0"/>
          </xdr:xfrm>
          <a:graphic>
            <a:graphicData uri="http://schemas.microsoft.com/office/drawing/2010/slicer">
              <sle:slicer xmlns:sle="http://schemas.microsoft.com/office/drawing/2010/slicer" name="Show_ID 1"/>
            </a:graphicData>
          </a:graphic>
        </xdr:graphicFrame>
      </mc:Choice>
      <mc:Fallback xmlns="">
        <xdr:sp macro="" textlink="">
          <xdr:nvSpPr>
            <xdr:cNvPr id="0" name=""/>
            <xdr:cNvSpPr>
              <a:spLocks noTextEdit="1"/>
            </xdr:cNvSpPr>
          </xdr:nvSpPr>
          <xdr:spPr>
            <a:xfrm>
              <a:off x="1761067" y="1"/>
              <a:ext cx="17843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485774</xdr:colOff>
      <xdr:row>0</xdr:row>
      <xdr:rowOff>9525</xdr:rowOff>
    </xdr:from>
    <xdr:to>
      <xdr:col>8</xdr:col>
      <xdr:colOff>495299</xdr:colOff>
      <xdr:row>7</xdr:row>
      <xdr:rowOff>133350</xdr:rowOff>
    </xdr:to>
    <mc:AlternateContent xmlns:mc="http://schemas.openxmlformats.org/markup-compatibility/2006" xmlns:a14="http://schemas.microsoft.com/office/drawing/2010/main">
      <mc:Choice Requires="a14">
        <xdr:graphicFrame macro="">
          <xdr:nvGraphicFramePr>
            <xdr:cNvPr id="4" name="Customer_Name"/>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3554941" y="9525"/>
              <a:ext cx="1851025"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0</xdr:row>
      <xdr:rowOff>9525</xdr:rowOff>
    </xdr:from>
    <xdr:to>
      <xdr:col>11</xdr:col>
      <xdr:colOff>428625</xdr:colOff>
      <xdr:row>7</xdr:row>
      <xdr:rowOff>19050</xdr:rowOff>
    </xdr:to>
    <mc:AlternateContent xmlns:mc="http://schemas.openxmlformats.org/markup-compatibility/2006" xmlns:a14="http://schemas.microsoft.com/office/drawing/2010/main">
      <mc:Choice Requires="a14">
        <xdr:graphicFrame macro="">
          <xdr:nvGraphicFramePr>
            <xdr:cNvPr id="5" name="Tickets_Booked"/>
            <xdr:cNvGraphicFramePr/>
          </xdr:nvGraphicFramePr>
          <xdr:xfrm>
            <a:off x="0" y="0"/>
            <a:ext cx="0" cy="0"/>
          </xdr:xfrm>
          <a:graphic>
            <a:graphicData uri="http://schemas.microsoft.com/office/drawing/2010/slicer">
              <sle:slicer xmlns:sle="http://schemas.microsoft.com/office/drawing/2010/slicer" name="Tickets_Booked"/>
            </a:graphicData>
          </a:graphic>
        </xdr:graphicFrame>
      </mc:Choice>
      <mc:Fallback xmlns="">
        <xdr:sp macro="" textlink="">
          <xdr:nvSpPr>
            <xdr:cNvPr id="0" name=""/>
            <xdr:cNvSpPr>
              <a:spLocks noTextEdit="1"/>
            </xdr:cNvSpPr>
          </xdr:nvSpPr>
          <xdr:spPr>
            <a:xfrm>
              <a:off x="5405967" y="9525"/>
              <a:ext cx="17748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0</xdr:row>
      <xdr:rowOff>19051</xdr:rowOff>
    </xdr:from>
    <xdr:to>
      <xdr:col>14</xdr:col>
      <xdr:colOff>457200</xdr:colOff>
      <xdr:row>6</xdr:row>
      <xdr:rowOff>171451</xdr:rowOff>
    </xdr:to>
    <mc:AlternateContent xmlns:mc="http://schemas.openxmlformats.org/markup-compatibility/2006" xmlns:a14="http://schemas.microsoft.com/office/drawing/2010/main">
      <mc:Choice Requires="a14">
        <xdr:graphicFrame macro="">
          <xdr:nvGraphicFramePr>
            <xdr:cNvPr id="6" name="Ticket_Price"/>
            <xdr:cNvGraphicFramePr/>
          </xdr:nvGraphicFramePr>
          <xdr:xfrm>
            <a:off x="0" y="0"/>
            <a:ext cx="0" cy="0"/>
          </xdr:xfrm>
          <a:graphic>
            <a:graphicData uri="http://schemas.microsoft.com/office/drawing/2010/slicer">
              <sle:slicer xmlns:sle="http://schemas.microsoft.com/office/drawing/2010/slicer" name="Ticket_Price"/>
            </a:graphicData>
          </a:graphic>
        </xdr:graphicFrame>
      </mc:Choice>
      <mc:Fallback xmlns="">
        <xdr:sp macro="" textlink="">
          <xdr:nvSpPr>
            <xdr:cNvPr id="0" name=""/>
            <xdr:cNvSpPr>
              <a:spLocks noTextEdit="1"/>
            </xdr:cNvSpPr>
          </xdr:nvSpPr>
          <xdr:spPr>
            <a:xfrm>
              <a:off x="7209367" y="19051"/>
              <a:ext cx="18415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0</xdr:row>
      <xdr:rowOff>1</xdr:rowOff>
    </xdr:from>
    <xdr:to>
      <xdr:col>18</xdr:col>
      <xdr:colOff>209550</xdr:colOff>
      <xdr:row>6</xdr:row>
      <xdr:rowOff>171451</xdr:rowOff>
    </xdr:to>
    <mc:AlternateContent xmlns:mc="http://schemas.openxmlformats.org/markup-compatibility/2006" xmlns:a14="http://schemas.microsoft.com/office/drawing/2010/main">
      <mc:Choice Requires="a14">
        <xdr:graphicFrame macro="">
          <xdr:nvGraphicFramePr>
            <xdr:cNvPr id="7" name="Booking_Date"/>
            <xdr:cNvGraphicFramePr/>
          </xdr:nvGraphicFramePr>
          <xdr:xfrm>
            <a:off x="0" y="0"/>
            <a:ext cx="0" cy="0"/>
          </xdr:xfrm>
          <a:graphic>
            <a:graphicData uri="http://schemas.microsoft.com/office/drawing/2010/slicer">
              <sle:slicer xmlns:sle="http://schemas.microsoft.com/office/drawing/2010/slicer" name="Booking_Date"/>
            </a:graphicData>
          </a:graphic>
        </xdr:graphicFrame>
      </mc:Choice>
      <mc:Fallback xmlns="">
        <xdr:sp macro="" textlink="">
          <xdr:nvSpPr>
            <xdr:cNvPr id="0" name=""/>
            <xdr:cNvSpPr>
              <a:spLocks noTextEdit="1"/>
            </xdr:cNvSpPr>
          </xdr:nvSpPr>
          <xdr:spPr>
            <a:xfrm>
              <a:off x="9088967" y="1"/>
              <a:ext cx="2169583"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8</xdr:row>
      <xdr:rowOff>133350</xdr:rowOff>
    </xdr:from>
    <xdr:to>
      <xdr:col>5</xdr:col>
      <xdr:colOff>476250</xdr:colOff>
      <xdr:row>18</xdr:row>
      <xdr:rowOff>104775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476251</xdr:colOff>
      <xdr:row>8</xdr:row>
      <xdr:rowOff>114300</xdr:rowOff>
    </xdr:from>
    <xdr:to>
      <xdr:col>10</xdr:col>
      <xdr:colOff>533401</xdr:colOff>
      <xdr:row>18</xdr:row>
      <xdr:rowOff>104775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542926</xdr:colOff>
      <xdr:row>8</xdr:row>
      <xdr:rowOff>114299</xdr:rowOff>
    </xdr:from>
    <xdr:to>
      <xdr:col>16</xdr:col>
      <xdr:colOff>9525</xdr:colOff>
      <xdr:row>18</xdr:row>
      <xdr:rowOff>95250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609599</xdr:colOff>
      <xdr:row>8</xdr:row>
      <xdr:rowOff>104775</xdr:rowOff>
    </xdr:from>
    <xdr:to>
      <xdr:col>21</xdr:col>
      <xdr:colOff>409574</xdr:colOff>
      <xdr:row>18</xdr:row>
      <xdr:rowOff>123825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85725</xdr:rowOff>
    </xdr:from>
    <xdr:to>
      <xdr:col>36</xdr:col>
      <xdr:colOff>63500</xdr:colOff>
      <xdr:row>5</xdr:row>
      <xdr:rowOff>63501</xdr:rowOff>
    </xdr:to>
    <xdr:sp macro="" textlink="">
      <xdr:nvSpPr>
        <xdr:cNvPr id="2" name="Rectangle 1"/>
        <xdr:cNvSpPr/>
      </xdr:nvSpPr>
      <xdr:spPr>
        <a:xfrm>
          <a:off x="0" y="85725"/>
          <a:ext cx="21780500" cy="930276"/>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solidFill>
                <a:schemeClr val="bg1"/>
              </a:solidFill>
              <a:latin typeface="Times New Roman" panose="02020603050405020304" pitchFamily="18" charset="0"/>
              <a:cs typeface="Times New Roman" panose="02020603050405020304" pitchFamily="18" charset="0"/>
            </a:rPr>
            <a:t>Movie Management System </a:t>
          </a:r>
        </a:p>
      </xdr:txBody>
    </xdr:sp>
    <xdr:clientData/>
  </xdr:twoCellAnchor>
  <xdr:twoCellAnchor>
    <xdr:from>
      <xdr:col>1</xdr:col>
      <xdr:colOff>63500</xdr:colOff>
      <xdr:row>6</xdr:row>
      <xdr:rowOff>63500</xdr:rowOff>
    </xdr:from>
    <xdr:to>
      <xdr:col>15</xdr:col>
      <xdr:colOff>15875</xdr:colOff>
      <xdr:row>39</xdr:row>
      <xdr:rowOff>15875</xdr:rowOff>
    </xdr:to>
    <xdr:grpSp>
      <xdr:nvGrpSpPr>
        <xdr:cNvPr id="30" name="Group 29"/>
        <xdr:cNvGrpSpPr/>
      </xdr:nvGrpSpPr>
      <xdr:grpSpPr>
        <a:xfrm>
          <a:off x="666750" y="1206500"/>
          <a:ext cx="8397875" cy="6238875"/>
          <a:chOff x="666750" y="1206500"/>
          <a:chExt cx="7159626" cy="3159125"/>
        </a:xfrm>
      </xdr:grpSpPr>
      <xdr:grpSp>
        <xdr:nvGrpSpPr>
          <xdr:cNvPr id="8" name="Group 7"/>
          <xdr:cNvGrpSpPr/>
        </xdr:nvGrpSpPr>
        <xdr:grpSpPr>
          <a:xfrm>
            <a:off x="802154" y="1396999"/>
            <a:ext cx="6807947" cy="2816227"/>
            <a:chOff x="405279" y="1381124"/>
            <a:chExt cx="6807947" cy="2816227"/>
          </a:xfrm>
        </xdr:grpSpPr>
        <mc:AlternateContent xmlns:mc="http://schemas.openxmlformats.org/markup-compatibility/2006" xmlns:a14="http://schemas.microsoft.com/office/drawing/2010/main">
          <mc:Choice Requires="a14">
            <xdr:graphicFrame macro="">
              <xdr:nvGraphicFramePr>
                <xdr:cNvPr id="3" name="Movie_Name 2"/>
                <xdr:cNvGraphicFramePr/>
              </xdr:nvGraphicFramePr>
              <xdr:xfrm>
                <a:off x="428624" y="1381124"/>
                <a:ext cx="4714876" cy="1492251"/>
              </xdr:xfrm>
              <a:graphic>
                <a:graphicData uri="http://schemas.microsoft.com/office/drawing/2010/slicer">
                  <sle:slicer xmlns:sle="http://schemas.microsoft.com/office/drawing/2010/slicer" name="Movie_Name 2"/>
                </a:graphicData>
              </a:graphic>
            </xdr:graphicFrame>
          </mc:Choice>
          <mc:Fallback xmlns="">
            <xdr:sp macro="" textlink="">
              <xdr:nvSpPr>
                <xdr:cNvPr id="0" name=""/>
                <xdr:cNvSpPr>
                  <a:spLocks noTextEdit="1"/>
                </xdr:cNvSpPr>
              </xdr:nvSpPr>
              <xdr:spPr>
                <a:xfrm>
                  <a:off x="852954" y="1582712"/>
                  <a:ext cx="5530309" cy="2947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Genre 2"/>
                <xdr:cNvGraphicFramePr/>
              </xdr:nvGraphicFramePr>
              <xdr:xfrm>
                <a:off x="2588745" y="2965451"/>
                <a:ext cx="2745255" cy="1209674"/>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3386666" y="4711559"/>
                  <a:ext cx="3220044" cy="2388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Duration 2"/>
                <xdr:cNvGraphicFramePr/>
              </xdr:nvGraphicFramePr>
              <xdr:xfrm>
                <a:off x="5178798" y="1381125"/>
                <a:ext cx="2028452" cy="1460500"/>
              </xdr:xfrm>
              <a:graphic>
                <a:graphicData uri="http://schemas.microsoft.com/office/drawing/2010/slicer">
                  <sle:slicer xmlns:sle="http://schemas.microsoft.com/office/drawing/2010/slicer" name="Duration 2"/>
                </a:graphicData>
              </a:graphic>
            </xdr:graphicFrame>
          </mc:Choice>
          <mc:Fallback xmlns="">
            <xdr:sp macro="" textlink="">
              <xdr:nvSpPr>
                <xdr:cNvPr id="0" name=""/>
                <xdr:cNvSpPr>
                  <a:spLocks noTextEdit="1"/>
                </xdr:cNvSpPr>
              </xdr:nvSpPr>
              <xdr:spPr>
                <a:xfrm>
                  <a:off x="6424666" y="1582714"/>
                  <a:ext cx="2379271" cy="2884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Rating 3"/>
                <xdr:cNvGraphicFramePr/>
              </xdr:nvGraphicFramePr>
              <xdr:xfrm>
                <a:off x="5422526" y="2921001"/>
                <a:ext cx="1790700" cy="1276350"/>
              </xdr:xfrm>
              <a:graphic>
                <a:graphicData uri="http://schemas.microsoft.com/office/drawing/2010/slicer">
                  <sle:slicer xmlns:sle="http://schemas.microsoft.com/office/drawing/2010/slicer" name="Rating 3"/>
                </a:graphicData>
              </a:graphic>
            </xdr:graphicFrame>
          </mc:Choice>
          <mc:Fallback xmlns="">
            <xdr:sp macro="" textlink="">
              <xdr:nvSpPr>
                <xdr:cNvPr id="0" name=""/>
                <xdr:cNvSpPr>
                  <a:spLocks noTextEdit="1"/>
                </xdr:cNvSpPr>
              </xdr:nvSpPr>
              <xdr:spPr>
                <a:xfrm>
                  <a:off x="6710546" y="4623776"/>
                  <a:ext cx="2100400" cy="2520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language 2"/>
                <xdr:cNvGraphicFramePr/>
              </xdr:nvGraphicFramePr>
              <xdr:xfrm>
                <a:off x="405279" y="2968626"/>
                <a:ext cx="2118846" cy="1190624"/>
              </xdr:xfrm>
              <a:graphic>
                <a:graphicData uri="http://schemas.microsoft.com/office/drawing/2010/slicer">
                  <sle:slicer xmlns:sle="http://schemas.microsoft.com/office/drawing/2010/slicer" name="language 2"/>
                </a:graphicData>
              </a:graphic>
            </xdr:graphicFrame>
          </mc:Choice>
          <mc:Fallback xmlns="">
            <xdr:sp macro="" textlink="">
              <xdr:nvSpPr>
                <xdr:cNvPr id="0" name=""/>
                <xdr:cNvSpPr>
                  <a:spLocks noTextEdit="1"/>
                </xdr:cNvSpPr>
              </xdr:nvSpPr>
              <xdr:spPr>
                <a:xfrm>
                  <a:off x="825572" y="4717829"/>
                  <a:ext cx="2485298" cy="235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6" name="Rounded Rectangle 15"/>
          <xdr:cNvSpPr/>
        </xdr:nvSpPr>
        <xdr:spPr>
          <a:xfrm>
            <a:off x="666750" y="1206500"/>
            <a:ext cx="7159626" cy="3159125"/>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269875</xdr:colOff>
      <xdr:row>6</xdr:row>
      <xdr:rowOff>111125</xdr:rowOff>
    </xdr:from>
    <xdr:to>
      <xdr:col>33</xdr:col>
      <xdr:colOff>174626</xdr:colOff>
      <xdr:row>38</xdr:row>
      <xdr:rowOff>158750</xdr:rowOff>
    </xdr:to>
    <xdr:grpSp>
      <xdr:nvGrpSpPr>
        <xdr:cNvPr id="29" name="Group 28"/>
        <xdr:cNvGrpSpPr/>
      </xdr:nvGrpSpPr>
      <xdr:grpSpPr>
        <a:xfrm>
          <a:off x="9318625" y="1254125"/>
          <a:ext cx="10763251" cy="6143625"/>
          <a:chOff x="8636001" y="1174750"/>
          <a:chExt cx="9144000" cy="6143625"/>
        </a:xfrm>
      </xdr:grpSpPr>
      <xdr:grpSp>
        <xdr:nvGrpSpPr>
          <xdr:cNvPr id="27" name="Group 26"/>
          <xdr:cNvGrpSpPr/>
        </xdr:nvGrpSpPr>
        <xdr:grpSpPr>
          <a:xfrm>
            <a:off x="8778875" y="1333500"/>
            <a:ext cx="8819029" cy="5793440"/>
            <a:chOff x="8032750" y="1238250"/>
            <a:chExt cx="8819029" cy="5793440"/>
          </a:xfrm>
        </xdr:grpSpPr>
        <xdr:graphicFrame macro="">
          <xdr:nvGraphicFramePr>
            <xdr:cNvPr id="22" name="Chart 21"/>
            <xdr:cNvGraphicFramePr>
              <a:graphicFrameLocks/>
            </xdr:cNvGraphicFramePr>
          </xdr:nvGraphicFramePr>
          <xdr:xfrm>
            <a:off x="8043955" y="1238250"/>
            <a:ext cx="4185959" cy="274544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xdr:cNvGraphicFramePr>
              <a:graphicFrameLocks/>
            </xdr:cNvGraphicFramePr>
          </xdr:nvGraphicFramePr>
          <xdr:xfrm>
            <a:off x="8032750" y="4140014"/>
            <a:ext cx="4167468" cy="288047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xdr:cNvGraphicFramePr>
              <a:graphicFrameLocks/>
            </xdr:cNvGraphicFramePr>
          </xdr:nvGraphicFramePr>
          <xdr:xfrm>
            <a:off x="12340851" y="4119841"/>
            <a:ext cx="4510928" cy="291184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xdr:cNvGraphicFramePr>
              <a:graphicFrameLocks/>
            </xdr:cNvGraphicFramePr>
          </xdr:nvGraphicFramePr>
          <xdr:xfrm>
            <a:off x="12347013" y="1238251"/>
            <a:ext cx="4482353" cy="2812678"/>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8" name="Rounded Rectangle 27"/>
          <xdr:cNvSpPr/>
        </xdr:nvSpPr>
        <xdr:spPr>
          <a:xfrm>
            <a:off x="8636001" y="1174750"/>
            <a:ext cx="9144000" cy="6143625"/>
          </a:xfrm>
          <a:prstGeom prst="roundRect">
            <a:avLst>
              <a:gd name="adj" fmla="val 7552"/>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349249</xdr:colOff>
      <xdr:row>41</xdr:row>
      <xdr:rowOff>142875</xdr:rowOff>
    </xdr:from>
    <xdr:to>
      <xdr:col>14</xdr:col>
      <xdr:colOff>428625</xdr:colOff>
      <xdr:row>60</xdr:row>
      <xdr:rowOff>174625</xdr:rowOff>
    </xdr:to>
    <xdr:grpSp>
      <xdr:nvGrpSpPr>
        <xdr:cNvPr id="37" name="Group 36"/>
        <xdr:cNvGrpSpPr/>
      </xdr:nvGrpSpPr>
      <xdr:grpSpPr>
        <a:xfrm>
          <a:off x="952499" y="7953375"/>
          <a:ext cx="7921626" cy="3651250"/>
          <a:chOff x="1000124" y="8334375"/>
          <a:chExt cx="6988176" cy="3143250"/>
        </a:xfrm>
      </xdr:grpSpPr>
      <mc:AlternateContent xmlns:mc="http://schemas.openxmlformats.org/markup-compatibility/2006" xmlns:a14="http://schemas.microsoft.com/office/drawing/2010/main">
        <mc:Choice Requires="a14">
          <xdr:graphicFrame macro="">
            <xdr:nvGraphicFramePr>
              <xdr:cNvPr id="31" name="Theater_Name 1"/>
              <xdr:cNvGraphicFramePr/>
            </xdr:nvGraphicFramePr>
            <xdr:xfrm>
              <a:off x="1000124" y="8334375"/>
              <a:ext cx="3079751" cy="1793875"/>
            </xdr:xfrm>
            <a:graphic>
              <a:graphicData uri="http://schemas.microsoft.com/office/drawing/2010/slicer">
                <sle:slicer xmlns:sle="http://schemas.microsoft.com/office/drawing/2010/slicer" name="Theater_Name 1"/>
              </a:graphicData>
            </a:graphic>
          </xdr:graphicFrame>
        </mc:Choice>
        <mc:Fallback xmlns="">
          <xdr:sp macro="" textlink="">
            <xdr:nvSpPr>
              <xdr:cNvPr id="0" name=""/>
              <xdr:cNvSpPr>
                <a:spLocks noTextEdit="1"/>
              </xdr:cNvSpPr>
            </xdr:nvSpPr>
            <xdr:spPr>
              <a:xfrm>
                <a:off x="952499" y="7953375"/>
                <a:ext cx="3491131" cy="208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City 1"/>
              <xdr:cNvGraphicFramePr/>
            </xdr:nvGraphicFramePr>
            <xdr:xfrm>
              <a:off x="4216400" y="8334376"/>
              <a:ext cx="1866900" cy="175260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598391" y="7953376"/>
                <a:ext cx="2116272" cy="2035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Capacity 1"/>
              <xdr:cNvGraphicFramePr/>
            </xdr:nvGraphicFramePr>
            <xdr:xfrm>
              <a:off x="6226175" y="8366125"/>
              <a:ext cx="1762125" cy="1714500"/>
            </xdr:xfrm>
            <a:graphic>
              <a:graphicData uri="http://schemas.microsoft.com/office/drawing/2010/slicer">
                <sle:slicer xmlns:sle="http://schemas.microsoft.com/office/drawing/2010/slicer" name="Capacity 1"/>
              </a:graphicData>
            </a:graphic>
          </xdr:graphicFrame>
        </mc:Choice>
        <mc:Fallback xmlns="">
          <xdr:sp macro="" textlink="">
            <xdr:nvSpPr>
              <xdr:cNvPr id="0" name=""/>
              <xdr:cNvSpPr>
                <a:spLocks noTextEdit="1"/>
              </xdr:cNvSpPr>
            </xdr:nvSpPr>
            <xdr:spPr>
              <a:xfrm>
                <a:off x="6876623" y="7990256"/>
                <a:ext cx="1997502" cy="1991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Screens 1"/>
              <xdr:cNvGraphicFramePr/>
            </xdr:nvGraphicFramePr>
            <xdr:xfrm>
              <a:off x="1035050" y="10223500"/>
              <a:ext cx="2520950" cy="1254125"/>
            </xdr:xfrm>
            <a:graphic>
              <a:graphicData uri="http://schemas.microsoft.com/office/drawing/2010/slicer">
                <sle:slicer xmlns:sle="http://schemas.microsoft.com/office/drawing/2010/slicer" name="Screens 1"/>
              </a:graphicData>
            </a:graphic>
          </xdr:graphicFrame>
        </mc:Choice>
        <mc:Fallback xmlns="">
          <xdr:sp macro="" textlink="">
            <xdr:nvSpPr>
              <xdr:cNvPr id="0" name=""/>
              <xdr:cNvSpPr>
                <a:spLocks noTextEdit="1"/>
              </xdr:cNvSpPr>
            </xdr:nvSpPr>
            <xdr:spPr>
              <a:xfrm>
                <a:off x="992090" y="10147813"/>
                <a:ext cx="2857687" cy="1456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Type 1"/>
              <xdr:cNvGraphicFramePr/>
            </xdr:nvGraphicFramePr>
            <xdr:xfrm>
              <a:off x="3651250" y="10217150"/>
              <a:ext cx="2111375" cy="124460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3957751" y="10140437"/>
                <a:ext cx="2393403" cy="1445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Rating 4"/>
              <xdr:cNvGraphicFramePr/>
            </xdr:nvGraphicFramePr>
            <xdr:xfrm>
              <a:off x="5857875" y="10175876"/>
              <a:ext cx="2092326" cy="1301749"/>
            </xdr:xfrm>
            <a:graphic>
              <a:graphicData uri="http://schemas.microsoft.com/office/drawing/2010/slicer">
                <sle:slicer xmlns:sle="http://schemas.microsoft.com/office/drawing/2010/slicer" name="Rating 4"/>
              </a:graphicData>
            </a:graphic>
          </xdr:graphicFrame>
        </mc:Choice>
        <mc:Fallback xmlns="">
          <xdr:sp macro="" textlink="">
            <xdr:nvSpPr>
              <xdr:cNvPr id="0" name=""/>
              <xdr:cNvSpPr>
                <a:spLocks noTextEdit="1"/>
              </xdr:cNvSpPr>
            </xdr:nvSpPr>
            <xdr:spPr>
              <a:xfrm>
                <a:off x="6459127" y="10092492"/>
                <a:ext cx="2371810" cy="1512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79375</xdr:colOff>
      <xdr:row>40</xdr:row>
      <xdr:rowOff>111126</xdr:rowOff>
    </xdr:from>
    <xdr:to>
      <xdr:col>15</xdr:col>
      <xdr:colOff>31750</xdr:colOff>
      <xdr:row>61</xdr:row>
      <xdr:rowOff>174626</xdr:rowOff>
    </xdr:to>
    <xdr:sp macro="" textlink="">
      <xdr:nvSpPr>
        <xdr:cNvPr id="38" name="Rounded Rectangle 37"/>
        <xdr:cNvSpPr/>
      </xdr:nvSpPr>
      <xdr:spPr>
        <a:xfrm>
          <a:off x="682625" y="7731126"/>
          <a:ext cx="8397875" cy="4064000"/>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571499</xdr:colOff>
      <xdr:row>41</xdr:row>
      <xdr:rowOff>63499</xdr:rowOff>
    </xdr:from>
    <xdr:to>
      <xdr:col>25</xdr:col>
      <xdr:colOff>79374</xdr:colOff>
      <xdr:row>60</xdr:row>
      <xdr:rowOff>142874</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174624</xdr:colOff>
      <xdr:row>41</xdr:row>
      <xdr:rowOff>15875</xdr:rowOff>
    </xdr:from>
    <xdr:to>
      <xdr:col>34</xdr:col>
      <xdr:colOff>476249</xdr:colOff>
      <xdr:row>60</xdr:row>
      <xdr:rowOff>142875</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396875</xdr:colOff>
      <xdr:row>40</xdr:row>
      <xdr:rowOff>63500</xdr:rowOff>
    </xdr:from>
    <xdr:to>
      <xdr:col>35</xdr:col>
      <xdr:colOff>95250</xdr:colOff>
      <xdr:row>61</xdr:row>
      <xdr:rowOff>142875</xdr:rowOff>
    </xdr:to>
    <xdr:sp macro="" textlink="">
      <xdr:nvSpPr>
        <xdr:cNvPr id="43" name="Rounded Rectangle 42"/>
        <xdr:cNvSpPr/>
      </xdr:nvSpPr>
      <xdr:spPr>
        <a:xfrm>
          <a:off x="9445625" y="7683500"/>
          <a:ext cx="11763375" cy="4079875"/>
        </a:xfrm>
        <a:prstGeom prst="roundRect">
          <a:avLst>
            <a:gd name="adj" fmla="val 4710"/>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460375</xdr:colOff>
      <xdr:row>63</xdr:row>
      <xdr:rowOff>101601</xdr:rowOff>
    </xdr:from>
    <xdr:to>
      <xdr:col>4</xdr:col>
      <xdr:colOff>462756</xdr:colOff>
      <xdr:row>71</xdr:row>
      <xdr:rowOff>6351</xdr:rowOff>
    </xdr:to>
    <mc:AlternateContent xmlns:mc="http://schemas.openxmlformats.org/markup-compatibility/2006" xmlns:a14="http://schemas.microsoft.com/office/drawing/2010/main">
      <mc:Choice Requires="a14">
        <xdr:graphicFrame macro="">
          <xdr:nvGraphicFramePr>
            <xdr:cNvPr id="39" name="Show_ID 2"/>
            <xdr:cNvGraphicFramePr/>
          </xdr:nvGraphicFramePr>
          <xdr:xfrm>
            <a:off x="0" y="0"/>
            <a:ext cx="0" cy="0"/>
          </xdr:xfrm>
          <a:graphic>
            <a:graphicData uri="http://schemas.microsoft.com/office/drawing/2010/slicer">
              <sle:slicer xmlns:sle="http://schemas.microsoft.com/office/drawing/2010/slicer" name="Show_ID 2"/>
            </a:graphicData>
          </a:graphic>
        </xdr:graphicFrame>
      </mc:Choice>
      <mc:Fallback xmlns="">
        <xdr:sp macro="" textlink="">
          <xdr:nvSpPr>
            <xdr:cNvPr id="0" name=""/>
            <xdr:cNvSpPr>
              <a:spLocks noTextEdit="1"/>
            </xdr:cNvSpPr>
          </xdr:nvSpPr>
          <xdr:spPr>
            <a:xfrm>
              <a:off x="1063625" y="12103101"/>
              <a:ext cx="1812131"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494505</xdr:colOff>
      <xdr:row>63</xdr:row>
      <xdr:rowOff>107950</xdr:rowOff>
    </xdr:from>
    <xdr:to>
      <xdr:col>7</xdr:col>
      <xdr:colOff>554037</xdr:colOff>
      <xdr:row>71</xdr:row>
      <xdr:rowOff>31749</xdr:rowOff>
    </xdr:to>
    <mc:AlternateContent xmlns:mc="http://schemas.openxmlformats.org/markup-compatibility/2006" xmlns:a14="http://schemas.microsoft.com/office/drawing/2010/main">
      <mc:Choice Requires="a14">
        <xdr:graphicFrame macro="">
          <xdr:nvGraphicFramePr>
            <xdr:cNvPr id="40" name="Movie_ID 2"/>
            <xdr:cNvGraphicFramePr/>
          </xdr:nvGraphicFramePr>
          <xdr:xfrm>
            <a:off x="0" y="0"/>
            <a:ext cx="0" cy="0"/>
          </xdr:xfrm>
          <a:graphic>
            <a:graphicData uri="http://schemas.microsoft.com/office/drawing/2010/slicer">
              <sle:slicer xmlns:sle="http://schemas.microsoft.com/office/drawing/2010/slicer" name="Movie_ID 2"/>
            </a:graphicData>
          </a:graphic>
        </xdr:graphicFrame>
      </mc:Choice>
      <mc:Fallback xmlns="">
        <xdr:sp macro="" textlink="">
          <xdr:nvSpPr>
            <xdr:cNvPr id="0" name=""/>
            <xdr:cNvSpPr>
              <a:spLocks noTextEdit="1"/>
            </xdr:cNvSpPr>
          </xdr:nvSpPr>
          <xdr:spPr>
            <a:xfrm>
              <a:off x="2907505" y="12109450"/>
              <a:ext cx="1869282"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4763</xdr:colOff>
      <xdr:row>63</xdr:row>
      <xdr:rowOff>127000</xdr:rowOff>
    </xdr:from>
    <xdr:to>
      <xdr:col>10</xdr:col>
      <xdr:colOff>600869</xdr:colOff>
      <xdr:row>71</xdr:row>
      <xdr:rowOff>47625</xdr:rowOff>
    </xdr:to>
    <mc:AlternateContent xmlns:mc="http://schemas.openxmlformats.org/markup-compatibility/2006" xmlns:a14="http://schemas.microsoft.com/office/drawing/2010/main">
      <mc:Choice Requires="a14">
        <xdr:graphicFrame macro="">
          <xdr:nvGraphicFramePr>
            <xdr:cNvPr id="44" name="Theater_ID 1"/>
            <xdr:cNvGraphicFramePr/>
          </xdr:nvGraphicFramePr>
          <xdr:xfrm>
            <a:off x="0" y="0"/>
            <a:ext cx="0" cy="0"/>
          </xdr:xfrm>
          <a:graphic>
            <a:graphicData uri="http://schemas.microsoft.com/office/drawing/2010/slicer">
              <sle:slicer xmlns:sle="http://schemas.microsoft.com/office/drawing/2010/slicer" name="Theater_ID 1"/>
            </a:graphicData>
          </a:graphic>
        </xdr:graphicFrame>
      </mc:Choice>
      <mc:Fallback xmlns="">
        <xdr:sp macro="" textlink="">
          <xdr:nvSpPr>
            <xdr:cNvPr id="0" name=""/>
            <xdr:cNvSpPr>
              <a:spLocks noTextEdit="1"/>
            </xdr:cNvSpPr>
          </xdr:nvSpPr>
          <xdr:spPr>
            <a:xfrm>
              <a:off x="4830763" y="12128500"/>
              <a:ext cx="1802606" cy="144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38893</xdr:colOff>
      <xdr:row>63</xdr:row>
      <xdr:rowOff>130175</xdr:rowOff>
    </xdr:from>
    <xdr:to>
      <xdr:col>14</xdr:col>
      <xdr:colOff>212724</xdr:colOff>
      <xdr:row>78</xdr:row>
      <xdr:rowOff>31750</xdr:rowOff>
    </xdr:to>
    <mc:AlternateContent xmlns:mc="http://schemas.openxmlformats.org/markup-compatibility/2006" xmlns:a14="http://schemas.microsoft.com/office/drawing/2010/main">
      <mc:Choice Requires="a14">
        <xdr:graphicFrame macro="">
          <xdr:nvGraphicFramePr>
            <xdr:cNvPr id="45" name="Show_Date 1"/>
            <xdr:cNvGraphicFramePr/>
          </xdr:nvGraphicFramePr>
          <xdr:xfrm>
            <a:off x="0" y="0"/>
            <a:ext cx="0" cy="0"/>
          </xdr:xfrm>
          <a:graphic>
            <a:graphicData uri="http://schemas.microsoft.com/office/drawing/2010/slicer">
              <sle:slicer xmlns:sle="http://schemas.microsoft.com/office/drawing/2010/slicer" name="Show_Date 1"/>
            </a:graphicData>
          </a:graphic>
        </xdr:graphicFrame>
      </mc:Choice>
      <mc:Fallback xmlns="">
        <xdr:sp macro="" textlink="">
          <xdr:nvSpPr>
            <xdr:cNvPr id="0" name=""/>
            <xdr:cNvSpPr>
              <a:spLocks noTextEdit="1"/>
            </xdr:cNvSpPr>
          </xdr:nvSpPr>
          <xdr:spPr>
            <a:xfrm>
              <a:off x="6674643" y="12131675"/>
              <a:ext cx="1983581" cy="2759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558800</xdr:colOff>
      <xdr:row>71</xdr:row>
      <xdr:rowOff>104776</xdr:rowOff>
    </xdr:from>
    <xdr:to>
      <xdr:col>10</xdr:col>
      <xdr:colOff>570706</xdr:colOff>
      <xdr:row>78</xdr:row>
      <xdr:rowOff>47626</xdr:rowOff>
    </xdr:to>
    <mc:AlternateContent xmlns:mc="http://schemas.openxmlformats.org/markup-compatibility/2006" xmlns:a14="http://schemas.microsoft.com/office/drawing/2010/main">
      <mc:Choice Requires="a14">
        <xdr:graphicFrame macro="">
          <xdr:nvGraphicFramePr>
            <xdr:cNvPr id="46" name="Show_Time 1"/>
            <xdr:cNvGraphicFramePr/>
          </xdr:nvGraphicFramePr>
          <xdr:xfrm>
            <a:off x="0" y="0"/>
            <a:ext cx="0" cy="0"/>
          </xdr:xfrm>
          <a:graphic>
            <a:graphicData uri="http://schemas.microsoft.com/office/drawing/2010/slicer">
              <sle:slicer xmlns:sle="http://schemas.microsoft.com/office/drawing/2010/slicer" name="Show_Time 1"/>
            </a:graphicData>
          </a:graphic>
        </xdr:graphicFrame>
      </mc:Choice>
      <mc:Fallback xmlns="">
        <xdr:sp macro="" textlink="">
          <xdr:nvSpPr>
            <xdr:cNvPr id="0" name=""/>
            <xdr:cNvSpPr>
              <a:spLocks noTextEdit="1"/>
            </xdr:cNvSpPr>
          </xdr:nvSpPr>
          <xdr:spPr>
            <a:xfrm>
              <a:off x="4781550" y="13630276"/>
              <a:ext cx="1821656"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111125</xdr:colOff>
      <xdr:row>62</xdr:row>
      <xdr:rowOff>127000</xdr:rowOff>
    </xdr:from>
    <xdr:to>
      <xdr:col>15</xdr:col>
      <xdr:colOff>63500</xdr:colOff>
      <xdr:row>79</xdr:row>
      <xdr:rowOff>15875</xdr:rowOff>
    </xdr:to>
    <xdr:sp macro="" textlink="">
      <xdr:nvSpPr>
        <xdr:cNvPr id="47" name="Rounded Rectangle 46"/>
        <xdr:cNvSpPr/>
      </xdr:nvSpPr>
      <xdr:spPr>
        <a:xfrm>
          <a:off x="714375" y="11938000"/>
          <a:ext cx="8397875" cy="3127375"/>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15874</xdr:colOff>
      <xdr:row>63</xdr:row>
      <xdr:rowOff>190499</xdr:rowOff>
    </xdr:from>
    <xdr:to>
      <xdr:col>25</xdr:col>
      <xdr:colOff>31749</xdr:colOff>
      <xdr:row>79</xdr:row>
      <xdr:rowOff>47624</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158749</xdr:colOff>
      <xdr:row>64</xdr:row>
      <xdr:rowOff>15874</xdr:rowOff>
    </xdr:from>
    <xdr:to>
      <xdr:col>34</xdr:col>
      <xdr:colOff>95250</xdr:colOff>
      <xdr:row>79</xdr:row>
      <xdr:rowOff>31749</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31750</xdr:colOff>
      <xdr:row>79</xdr:row>
      <xdr:rowOff>142875</xdr:rowOff>
    </xdr:from>
    <xdr:to>
      <xdr:col>25</xdr:col>
      <xdr:colOff>0</xdr:colOff>
      <xdr:row>95</xdr:row>
      <xdr:rowOff>31750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142874</xdr:colOff>
      <xdr:row>79</xdr:row>
      <xdr:rowOff>174624</xdr:rowOff>
    </xdr:from>
    <xdr:to>
      <xdr:col>34</xdr:col>
      <xdr:colOff>126999</xdr:colOff>
      <xdr:row>94</xdr:row>
      <xdr:rowOff>126999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412750</xdr:colOff>
      <xdr:row>63</xdr:row>
      <xdr:rowOff>63500</xdr:rowOff>
    </xdr:from>
    <xdr:to>
      <xdr:col>35</xdr:col>
      <xdr:colOff>47625</xdr:colOff>
      <xdr:row>96</xdr:row>
      <xdr:rowOff>63500</xdr:rowOff>
    </xdr:to>
    <xdr:sp macro="" textlink="">
      <xdr:nvSpPr>
        <xdr:cNvPr id="52" name="Rounded Rectangle 51"/>
        <xdr:cNvSpPr/>
      </xdr:nvSpPr>
      <xdr:spPr>
        <a:xfrm>
          <a:off x="9461500" y="12065000"/>
          <a:ext cx="11699875" cy="6286500"/>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95249</xdr:colOff>
      <xdr:row>101</xdr:row>
      <xdr:rowOff>41274</xdr:rowOff>
    </xdr:from>
    <xdr:to>
      <xdr:col>6</xdr:col>
      <xdr:colOff>190500</xdr:colOff>
      <xdr:row>109</xdr:row>
      <xdr:rowOff>47625</xdr:rowOff>
    </xdr:to>
    <mc:AlternateContent xmlns:mc="http://schemas.openxmlformats.org/markup-compatibility/2006" xmlns:a14="http://schemas.microsoft.com/office/drawing/2010/main">
      <mc:Choice Requires="a14">
        <xdr:graphicFrame macro="">
          <xdr:nvGraphicFramePr>
            <xdr:cNvPr id="53" name="Booking_ID 1"/>
            <xdr:cNvGraphicFramePr/>
          </xdr:nvGraphicFramePr>
          <xdr:xfrm>
            <a:off x="0" y="0"/>
            <a:ext cx="0" cy="0"/>
          </xdr:xfrm>
          <a:graphic>
            <a:graphicData uri="http://schemas.microsoft.com/office/drawing/2010/slicer">
              <sle:slicer xmlns:sle="http://schemas.microsoft.com/office/drawing/2010/slicer" name="Booking_ID 1"/>
            </a:graphicData>
          </a:graphic>
        </xdr:graphicFrame>
      </mc:Choice>
      <mc:Fallback xmlns="">
        <xdr:sp macro="" textlink="">
          <xdr:nvSpPr>
            <xdr:cNvPr id="0" name=""/>
            <xdr:cNvSpPr>
              <a:spLocks noTextEdit="1"/>
            </xdr:cNvSpPr>
          </xdr:nvSpPr>
          <xdr:spPr>
            <a:xfrm>
              <a:off x="1301749" y="19281774"/>
              <a:ext cx="2508251" cy="1530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291042</xdr:colOff>
      <xdr:row>101</xdr:row>
      <xdr:rowOff>31750</xdr:rowOff>
    </xdr:from>
    <xdr:to>
      <xdr:col>9</xdr:col>
      <xdr:colOff>444500</xdr:colOff>
      <xdr:row>109</xdr:row>
      <xdr:rowOff>0</xdr:rowOff>
    </xdr:to>
    <mc:AlternateContent xmlns:mc="http://schemas.openxmlformats.org/markup-compatibility/2006" xmlns:a14="http://schemas.microsoft.com/office/drawing/2010/main">
      <mc:Choice Requires="a14">
        <xdr:graphicFrame macro="">
          <xdr:nvGraphicFramePr>
            <xdr:cNvPr id="54" name="Show_ID 3"/>
            <xdr:cNvGraphicFramePr/>
          </xdr:nvGraphicFramePr>
          <xdr:xfrm>
            <a:off x="0" y="0"/>
            <a:ext cx="0" cy="0"/>
          </xdr:xfrm>
          <a:graphic>
            <a:graphicData uri="http://schemas.microsoft.com/office/drawing/2010/slicer">
              <sle:slicer xmlns:sle="http://schemas.microsoft.com/office/drawing/2010/slicer" name="Show_ID 3"/>
            </a:graphicData>
          </a:graphic>
        </xdr:graphicFrame>
      </mc:Choice>
      <mc:Fallback xmlns="">
        <xdr:sp macro="" textlink="">
          <xdr:nvSpPr>
            <xdr:cNvPr id="0" name=""/>
            <xdr:cNvSpPr>
              <a:spLocks noTextEdit="1"/>
            </xdr:cNvSpPr>
          </xdr:nvSpPr>
          <xdr:spPr>
            <a:xfrm>
              <a:off x="3910542" y="19272250"/>
              <a:ext cx="1963208"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513291</xdr:colOff>
      <xdr:row>101</xdr:row>
      <xdr:rowOff>9524</xdr:rowOff>
    </xdr:from>
    <xdr:to>
      <xdr:col>14</xdr:col>
      <xdr:colOff>285750</xdr:colOff>
      <xdr:row>109</xdr:row>
      <xdr:rowOff>31750</xdr:rowOff>
    </xdr:to>
    <mc:AlternateContent xmlns:mc="http://schemas.openxmlformats.org/markup-compatibility/2006" xmlns:a14="http://schemas.microsoft.com/office/drawing/2010/main">
      <mc:Choice Requires="a14">
        <xdr:graphicFrame macro="">
          <xdr:nvGraphicFramePr>
            <xdr:cNvPr id="55" name="Customer_Name 1"/>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5942541" y="19250024"/>
              <a:ext cx="2788709" cy="1546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125942</xdr:colOff>
      <xdr:row>109</xdr:row>
      <xdr:rowOff>120649</xdr:rowOff>
    </xdr:from>
    <xdr:to>
      <xdr:col>6</xdr:col>
      <xdr:colOff>142875</xdr:colOff>
      <xdr:row>116</xdr:row>
      <xdr:rowOff>130174</xdr:rowOff>
    </xdr:to>
    <mc:AlternateContent xmlns:mc="http://schemas.openxmlformats.org/markup-compatibility/2006" xmlns:a14="http://schemas.microsoft.com/office/drawing/2010/main">
      <mc:Choice Requires="a14">
        <xdr:graphicFrame macro="">
          <xdr:nvGraphicFramePr>
            <xdr:cNvPr id="56" name="Tickets_Booked 1"/>
            <xdr:cNvGraphicFramePr/>
          </xdr:nvGraphicFramePr>
          <xdr:xfrm>
            <a:off x="0" y="0"/>
            <a:ext cx="0" cy="0"/>
          </xdr:xfrm>
          <a:graphic>
            <a:graphicData uri="http://schemas.microsoft.com/office/drawing/2010/slicer">
              <sle:slicer xmlns:sle="http://schemas.microsoft.com/office/drawing/2010/slicer" name="Tickets_Booked 1"/>
            </a:graphicData>
          </a:graphic>
        </xdr:graphicFrame>
      </mc:Choice>
      <mc:Fallback xmlns="">
        <xdr:sp macro="" textlink="">
          <xdr:nvSpPr>
            <xdr:cNvPr id="0" name=""/>
            <xdr:cNvSpPr>
              <a:spLocks noTextEdit="1"/>
            </xdr:cNvSpPr>
          </xdr:nvSpPr>
          <xdr:spPr>
            <a:xfrm>
              <a:off x="1332442" y="20885149"/>
              <a:ext cx="2429933"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246591</xdr:colOff>
      <xdr:row>109</xdr:row>
      <xdr:rowOff>114299</xdr:rowOff>
    </xdr:from>
    <xdr:to>
      <xdr:col>9</xdr:col>
      <xdr:colOff>460374</xdr:colOff>
      <xdr:row>116</xdr:row>
      <xdr:rowOff>142875</xdr:rowOff>
    </xdr:to>
    <mc:AlternateContent xmlns:mc="http://schemas.openxmlformats.org/markup-compatibility/2006" xmlns:a14="http://schemas.microsoft.com/office/drawing/2010/main">
      <mc:Choice Requires="a14">
        <xdr:graphicFrame macro="">
          <xdr:nvGraphicFramePr>
            <xdr:cNvPr id="57" name="Ticket_Price 1"/>
            <xdr:cNvGraphicFramePr/>
          </xdr:nvGraphicFramePr>
          <xdr:xfrm>
            <a:off x="0" y="0"/>
            <a:ext cx="0" cy="0"/>
          </xdr:xfrm>
          <a:graphic>
            <a:graphicData uri="http://schemas.microsoft.com/office/drawing/2010/slicer">
              <sle:slicer xmlns:sle="http://schemas.microsoft.com/office/drawing/2010/slicer" name="Ticket_Price 1"/>
            </a:graphicData>
          </a:graphic>
        </xdr:graphicFrame>
      </mc:Choice>
      <mc:Fallback xmlns="">
        <xdr:sp macro="" textlink="">
          <xdr:nvSpPr>
            <xdr:cNvPr id="0" name=""/>
            <xdr:cNvSpPr>
              <a:spLocks noTextEdit="1"/>
            </xdr:cNvSpPr>
          </xdr:nvSpPr>
          <xdr:spPr>
            <a:xfrm>
              <a:off x="3866091" y="20878799"/>
              <a:ext cx="2023533" cy="136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554567</xdr:colOff>
      <xdr:row>109</xdr:row>
      <xdr:rowOff>158750</xdr:rowOff>
    </xdr:from>
    <xdr:to>
      <xdr:col>14</xdr:col>
      <xdr:colOff>254000</xdr:colOff>
      <xdr:row>116</xdr:row>
      <xdr:rowOff>139700</xdr:rowOff>
    </xdr:to>
    <mc:AlternateContent xmlns:mc="http://schemas.openxmlformats.org/markup-compatibility/2006" xmlns:a14="http://schemas.microsoft.com/office/drawing/2010/main">
      <mc:Choice Requires="a14">
        <xdr:graphicFrame macro="">
          <xdr:nvGraphicFramePr>
            <xdr:cNvPr id="58" name="Booking_Date 1"/>
            <xdr:cNvGraphicFramePr/>
          </xdr:nvGraphicFramePr>
          <xdr:xfrm>
            <a:off x="0" y="0"/>
            <a:ext cx="0" cy="0"/>
          </xdr:xfrm>
          <a:graphic>
            <a:graphicData uri="http://schemas.microsoft.com/office/drawing/2010/slicer">
              <sle:slicer xmlns:sle="http://schemas.microsoft.com/office/drawing/2010/slicer" name="Booking_Date 1"/>
            </a:graphicData>
          </a:graphic>
        </xdr:graphicFrame>
      </mc:Choice>
      <mc:Fallback xmlns="">
        <xdr:sp macro="" textlink="">
          <xdr:nvSpPr>
            <xdr:cNvPr id="0" name=""/>
            <xdr:cNvSpPr>
              <a:spLocks noTextEdit="1"/>
            </xdr:cNvSpPr>
          </xdr:nvSpPr>
          <xdr:spPr>
            <a:xfrm>
              <a:off x="5983817" y="20923250"/>
              <a:ext cx="2715683"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492126</xdr:colOff>
      <xdr:row>100</xdr:row>
      <xdr:rowOff>0</xdr:rowOff>
    </xdr:from>
    <xdr:to>
      <xdr:col>14</xdr:col>
      <xdr:colOff>492126</xdr:colOff>
      <xdr:row>117</xdr:row>
      <xdr:rowOff>95250</xdr:rowOff>
    </xdr:to>
    <xdr:sp macro="" textlink="">
      <xdr:nvSpPr>
        <xdr:cNvPr id="59" name="Rounded Rectangle 58"/>
        <xdr:cNvSpPr/>
      </xdr:nvSpPr>
      <xdr:spPr>
        <a:xfrm>
          <a:off x="1095376" y="19050000"/>
          <a:ext cx="7842250" cy="3333750"/>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95249</xdr:colOff>
      <xdr:row>100</xdr:row>
      <xdr:rowOff>47625</xdr:rowOff>
    </xdr:from>
    <xdr:to>
      <xdr:col>24</xdr:col>
      <xdr:colOff>571500</xdr:colOff>
      <xdr:row>116</xdr:row>
      <xdr:rowOff>47625</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174624</xdr:colOff>
      <xdr:row>100</xdr:row>
      <xdr:rowOff>47625</xdr:rowOff>
    </xdr:from>
    <xdr:to>
      <xdr:col>33</xdr:col>
      <xdr:colOff>476249</xdr:colOff>
      <xdr:row>116</xdr:row>
      <xdr:rowOff>31750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95250</xdr:colOff>
      <xdr:row>117</xdr:row>
      <xdr:rowOff>15875</xdr:rowOff>
    </xdr:from>
    <xdr:to>
      <xdr:col>24</xdr:col>
      <xdr:colOff>571500</xdr:colOff>
      <xdr:row>132</xdr:row>
      <xdr:rowOff>111125</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158750</xdr:colOff>
      <xdr:row>117</xdr:row>
      <xdr:rowOff>15875</xdr:rowOff>
    </xdr:from>
    <xdr:to>
      <xdr:col>33</xdr:col>
      <xdr:colOff>539750</xdr:colOff>
      <xdr:row>132</xdr:row>
      <xdr:rowOff>79375</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523874</xdr:colOff>
      <xdr:row>99</xdr:row>
      <xdr:rowOff>95249</xdr:rowOff>
    </xdr:from>
    <xdr:to>
      <xdr:col>34</xdr:col>
      <xdr:colOff>95249</xdr:colOff>
      <xdr:row>133</xdr:row>
      <xdr:rowOff>111124</xdr:rowOff>
    </xdr:to>
    <xdr:sp macro="" textlink="">
      <xdr:nvSpPr>
        <xdr:cNvPr id="64" name="Rounded Rectangle 63"/>
        <xdr:cNvSpPr/>
      </xdr:nvSpPr>
      <xdr:spPr>
        <a:xfrm>
          <a:off x="9572624" y="18954749"/>
          <a:ext cx="11033125" cy="6492875"/>
        </a:xfrm>
        <a:prstGeom prst="roundRect">
          <a:avLst>
            <a:gd name="adj" fmla="val 8627"/>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Hi" refreshedDate="45960.454502893517" createdVersion="6" refreshedVersion="6" minRefreshableVersion="3" recordCount="10">
  <cacheSource type="worksheet">
    <worksheetSource name="Movies"/>
  </cacheSource>
  <cacheFields count="6">
    <cacheField name="Movie_ID" numFmtId="0">
      <sharedItems count="10">
        <s v="M101"/>
        <s v="M102"/>
        <s v="M103"/>
        <s v="M104"/>
        <s v="M105"/>
        <s v="M106"/>
        <s v="M107"/>
        <s v="M108"/>
        <s v="M109"/>
        <s v="M110"/>
      </sharedItems>
    </cacheField>
    <cacheField name="Movie_Name" numFmtId="0">
      <sharedItems count="10">
        <s v="Avengers : Endgame"/>
        <s v="Barbie"/>
        <s v="Oppenhenimer"/>
        <s v="Inside Out 2"/>
        <s v="Leo"/>
        <s v="Pathan"/>
        <s v="Jawan"/>
        <s v="3 Idiots"/>
        <s v="Zindagi Na Milegi Dobara"/>
        <s v="Kantara"/>
      </sharedItems>
    </cacheField>
    <cacheField name="Genre" numFmtId="0">
      <sharedItems count="6">
        <s v="Action"/>
        <s v="Comedy"/>
        <s v="Darma"/>
        <s v="Animation"/>
        <s v="Drama"/>
        <s v="Thriller"/>
      </sharedItems>
    </cacheField>
    <cacheField name="Duration" numFmtId="0">
      <sharedItems containsSemiMixedTypes="0" containsString="0" containsNumber="1" containsInteger="1" minValue="100" maxValue="180" count="9">
        <n v="180"/>
        <n v="110"/>
        <n v="100"/>
        <n v="164"/>
        <n v="146"/>
        <n v="169"/>
        <n v="171"/>
        <n v="155"/>
        <n v="147"/>
      </sharedItems>
    </cacheField>
    <cacheField name="Rating" numFmtId="0">
      <sharedItems containsSemiMixedTypes="0" containsString="0" containsNumber="1" minValue="7.2" maxValue="9" count="9">
        <n v="9"/>
        <n v="7.5"/>
        <n v="8.8000000000000007"/>
        <n v="8.1999999999999993"/>
        <n v="7.9"/>
        <n v="7.2"/>
        <n v="7.8"/>
        <n v="8.4"/>
        <n v="8.3000000000000007"/>
      </sharedItems>
    </cacheField>
    <cacheField name="language" numFmtId="0">
      <sharedItems count="4">
        <s v="English"/>
        <s v="Tamil"/>
        <s v="Hindi"/>
        <s v="Kannada"/>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i" refreshedDate="45960.465617245369" createdVersion="6" refreshedVersion="6" minRefreshableVersion="3" recordCount="10">
  <cacheSource type="worksheet">
    <worksheetSource name="Theater"/>
  </cacheSource>
  <cacheFields count="8">
    <cacheField name="Theater_ID" numFmtId="0">
      <sharedItems count="10">
        <s v="T01"/>
        <s v="T02"/>
        <s v="T03"/>
        <s v="T04"/>
        <s v="T05"/>
        <s v="T06"/>
        <s v="T07"/>
        <s v="T08"/>
        <s v="T09"/>
        <s v="T10"/>
      </sharedItems>
    </cacheField>
    <cacheField name="Theater_Name" numFmtId="0">
      <sharedItems count="10">
        <s v="PVR Icon"/>
        <s v="INOX City center"/>
        <s v="Cinepolis"/>
        <s v="Carnival Cinemas"/>
        <s v="Miraj Plazza"/>
        <s v="PVR Forum"/>
        <s v="INOX Plazza"/>
        <s v="PVR Gold"/>
        <s v="Cinepolis Square"/>
        <s v="City Pride"/>
      </sharedItems>
    </cacheField>
    <cacheField name="City" numFmtId="0">
      <sharedItems count="7">
        <s v="Goregoan"/>
        <s v="Andheri"/>
        <s v="Bandra"/>
        <s v="Borivali"/>
        <s v="Malad"/>
        <s v="Jogeshwari"/>
        <s v="Khar"/>
      </sharedItems>
    </cacheField>
    <cacheField name="City2" numFmtId="0">
      <sharedItems count="1">
        <s v="Mumbai"/>
      </sharedItems>
    </cacheField>
    <cacheField name="Capacity" numFmtId="0">
      <sharedItems containsSemiMixedTypes="0" containsString="0" containsNumber="1" containsInteger="1" minValue="200" maxValue="320" count="7">
        <n v="320"/>
        <n v="280"/>
        <n v="300"/>
        <n v="250"/>
        <n v="270"/>
        <n v="290"/>
        <n v="200"/>
      </sharedItems>
    </cacheField>
    <cacheField name="Screens" numFmtId="0">
      <sharedItems containsSemiMixedTypes="0" containsString="0" containsNumber="1" containsInteger="1" minValue="2" maxValue="6" count="5">
        <n v="5"/>
        <n v="4"/>
        <n v="6"/>
        <n v="3"/>
        <n v="2"/>
      </sharedItems>
    </cacheField>
    <cacheField name="Type" numFmtId="0">
      <sharedItems count="3">
        <s v="Multiplex"/>
        <s v="Premium"/>
        <s v="Singel Screen"/>
      </sharedItems>
    </cacheField>
    <cacheField name="Rating" numFmtId="0">
      <sharedItems containsSemiMixedTypes="0" containsString="0" containsNumber="1" minValue="3.2" maxValue="4.9000000000000004" count="8">
        <n v="4.7"/>
        <n v="4.5999999999999996"/>
        <n v="4.8"/>
        <n v="4.4000000000000004"/>
        <n v="3.2"/>
        <n v="4.5"/>
        <n v="4.9000000000000004"/>
        <n v="4.3"/>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Hi" refreshedDate="45960.477585416666" createdVersion="6" refreshedVersion="6" minRefreshableVersion="3" recordCount="10">
  <cacheSource type="worksheet">
    <worksheetSource name="Shows"/>
  </cacheSource>
  <cacheFields count="6">
    <cacheField name="Show_ID" numFmtId="0">
      <sharedItems count="10">
        <s v="S101"/>
        <s v="S102"/>
        <s v="S103"/>
        <s v="S104"/>
        <s v="S105"/>
        <s v="S106"/>
        <s v="S107"/>
        <s v="S108"/>
        <s v="S109"/>
        <s v="S110"/>
      </sharedItems>
    </cacheField>
    <cacheField name="Movie_ID" numFmtId="0">
      <sharedItems count="10">
        <s v="M101"/>
        <s v="M102"/>
        <s v="M103"/>
        <s v="M104"/>
        <s v="M105"/>
        <s v="M106"/>
        <s v="M107"/>
        <s v="M108"/>
        <s v="M109"/>
        <s v="M110"/>
      </sharedItems>
    </cacheField>
    <cacheField name="Theater_ID" numFmtId="0">
      <sharedItems count="10">
        <s v="T01"/>
        <s v="T02"/>
        <s v="T03"/>
        <s v="T04"/>
        <s v="T05"/>
        <s v="T06"/>
        <s v="T07"/>
        <s v="T08"/>
        <s v="T09"/>
        <s v="T10"/>
      </sharedItems>
    </cacheField>
    <cacheField name="Show_Date" numFmtId="14">
      <sharedItems containsSemiMixedTypes="0" containsNonDate="0" containsDate="1" containsString="0" minDate="2025-10-30T00:00:00" maxDate="2025-11-09T00:00:00" count="10">
        <d v="2025-10-30T00:00:00"/>
        <d v="2025-10-31T00:00:00"/>
        <d v="2025-11-01T00:00:00"/>
        <d v="2025-11-02T00:00:00"/>
        <d v="2025-11-03T00:00:00"/>
        <d v="2025-11-04T00:00:00"/>
        <d v="2025-11-05T00:00:00"/>
        <d v="2025-11-06T00:00:00"/>
        <d v="2025-11-07T00:00:00"/>
        <d v="2025-11-08T00:00:00"/>
      </sharedItems>
      <fieldGroup par="5" base="3">
        <rangePr groupBy="days" startDate="2025-10-30T00:00:00" endDate="2025-11-09T00:00:00"/>
        <groupItems count="368">
          <s v="&lt;10/3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9/2025"/>
        </groupItems>
      </fieldGroup>
    </cacheField>
    <cacheField name="Show_Time" numFmtId="20">
      <sharedItems containsSemiMixedTypes="0" containsNonDate="0" containsDate="1" containsString="0" minDate="1899-12-30T10:30:00" maxDate="1899-12-30T21:00:00" count="6">
        <d v="1899-12-30T18:00:00"/>
        <d v="1899-12-30T21:00:00"/>
        <d v="1899-12-30T17:00:00"/>
        <d v="1899-12-30T10:30:00"/>
        <d v="1899-12-30T20:00:00"/>
        <d v="1899-12-30T11:00:00"/>
      </sharedItems>
    </cacheField>
    <cacheField name="Months" numFmtId="0" databaseField="0">
      <fieldGroup base="3">
        <rangePr groupBy="months" startDate="2025-10-30T00:00:00" endDate="2025-11-09T00:00:00"/>
        <groupItems count="14">
          <s v="&lt;10/30/2025"/>
          <s v="Jan"/>
          <s v="Feb"/>
          <s v="Mar"/>
          <s v="Apr"/>
          <s v="May"/>
          <s v="Jun"/>
          <s v="Jul"/>
          <s v="Aug"/>
          <s v="Sep"/>
          <s v="Oct"/>
          <s v="Nov"/>
          <s v="Dec"/>
          <s v="&gt;11/9/2025"/>
        </groupItems>
      </fieldGroup>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Hi" refreshedDate="45960.571007060185" createdVersion="6" refreshedVersion="6" minRefreshableVersion="3" recordCount="10">
  <cacheSource type="worksheet">
    <worksheetSource name="Bookings"/>
  </cacheSource>
  <cacheFields count="7">
    <cacheField name="Booking_ID" numFmtId="0">
      <sharedItems count="10">
        <s v="B001"/>
        <s v="B002"/>
        <s v="B003"/>
        <s v="B004"/>
        <s v="B005"/>
        <s v="B006"/>
        <s v="B007"/>
        <s v="B008"/>
        <s v="B009"/>
        <s v="B010"/>
      </sharedItems>
    </cacheField>
    <cacheField name="Show_ID" numFmtId="0">
      <sharedItems count="10">
        <s v="S101"/>
        <s v="S102"/>
        <s v="S103"/>
        <s v="S104"/>
        <s v="S105"/>
        <s v="S106"/>
        <s v="S107"/>
        <s v="S108"/>
        <s v="S109"/>
        <s v="S110"/>
      </sharedItems>
    </cacheField>
    <cacheField name="Customer_Name" numFmtId="0">
      <sharedItems count="10">
        <s v="Riya"/>
        <s v="Karan"/>
        <s v="Shubham"/>
        <s v="Priya"/>
        <s v="Aman"/>
        <s v="Neha"/>
        <s v="Arav"/>
        <s v="Sara"/>
        <s v="Tanvi"/>
        <s v="Mohit"/>
      </sharedItems>
    </cacheField>
    <cacheField name="Tickets_Booked" numFmtId="0">
      <sharedItems containsSemiMixedTypes="0" containsString="0" containsNumber="1" containsInteger="1" minValue="1" maxValue="7" count="6">
        <n v="3"/>
        <n v="2"/>
        <n v="5"/>
        <n v="4"/>
        <n v="1"/>
        <n v="7"/>
      </sharedItems>
    </cacheField>
    <cacheField name="Ticket_Price" numFmtId="0">
      <sharedItems containsSemiMixedTypes="0" containsString="0" containsNumber="1" containsInteger="1" minValue="190" maxValue="300" count="5">
        <n v="250"/>
        <n v="200"/>
        <n v="230"/>
        <n v="300"/>
        <n v="190"/>
      </sharedItems>
    </cacheField>
    <cacheField name="Booking_Date" numFmtId="14">
      <sharedItems containsSemiMixedTypes="0" containsNonDate="0" containsDate="1" containsString="0" minDate="2025-10-30T00:00:00" maxDate="2025-11-09T00:00:00" count="10">
        <d v="2025-10-30T00:00:00"/>
        <d v="2025-10-31T00:00:00"/>
        <d v="2025-11-01T00:00:00"/>
        <d v="2025-11-02T00:00:00"/>
        <d v="2025-11-03T00:00:00"/>
        <d v="2025-11-04T00:00:00"/>
        <d v="2025-11-05T00:00:00"/>
        <d v="2025-11-06T00:00:00"/>
        <d v="2025-11-07T00:00:00"/>
        <d v="2025-11-08T00:00:00"/>
      </sharedItems>
      <fieldGroup par="6" base="5">
        <rangePr groupBy="days" startDate="2025-10-30T00:00:00" endDate="2025-11-09T00:00:00"/>
        <groupItems count="368">
          <s v="&lt;10/3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9/2025"/>
        </groupItems>
      </fieldGroup>
    </cacheField>
    <cacheField name="Months" numFmtId="0" databaseField="0">
      <fieldGroup base="5">
        <rangePr groupBy="months" startDate="2025-10-30T00:00:00" endDate="2025-11-09T00:00:00"/>
        <groupItems count="14">
          <s v="&lt;10/30/2025"/>
          <s v="Jan"/>
          <s v="Feb"/>
          <s v="Mar"/>
          <s v="Apr"/>
          <s v="May"/>
          <s v="Jun"/>
          <s v="Jul"/>
          <s v="Aug"/>
          <s v="Sep"/>
          <s v="Oct"/>
          <s v="Nov"/>
          <s v="Dec"/>
          <s v="&gt;11/9/2025"/>
        </groupItems>
      </fieldGroup>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10">
  <r>
    <x v="0"/>
    <x v="0"/>
    <x v="0"/>
    <x v="0"/>
    <x v="0"/>
    <x v="0"/>
  </r>
  <r>
    <x v="1"/>
    <x v="1"/>
    <x v="1"/>
    <x v="1"/>
    <x v="1"/>
    <x v="0"/>
  </r>
  <r>
    <x v="2"/>
    <x v="2"/>
    <x v="2"/>
    <x v="0"/>
    <x v="2"/>
    <x v="0"/>
  </r>
  <r>
    <x v="3"/>
    <x v="3"/>
    <x v="3"/>
    <x v="2"/>
    <x v="3"/>
    <x v="0"/>
  </r>
  <r>
    <x v="4"/>
    <x v="4"/>
    <x v="0"/>
    <x v="3"/>
    <x v="4"/>
    <x v="1"/>
  </r>
  <r>
    <x v="5"/>
    <x v="5"/>
    <x v="0"/>
    <x v="4"/>
    <x v="5"/>
    <x v="2"/>
  </r>
  <r>
    <x v="6"/>
    <x v="6"/>
    <x v="0"/>
    <x v="5"/>
    <x v="6"/>
    <x v="2"/>
  </r>
  <r>
    <x v="7"/>
    <x v="7"/>
    <x v="1"/>
    <x v="6"/>
    <x v="7"/>
    <x v="2"/>
  </r>
  <r>
    <x v="8"/>
    <x v="8"/>
    <x v="4"/>
    <x v="7"/>
    <x v="8"/>
    <x v="2"/>
  </r>
  <r>
    <x v="9"/>
    <x v="9"/>
    <x v="5"/>
    <x v="8"/>
    <x v="7"/>
    <x v="3"/>
  </r>
</pivotCacheRecords>
</file>

<file path=xl/pivotCache/pivotCacheRecords2.xml><?xml version="1.0" encoding="utf-8"?>
<pivotCacheRecords xmlns="http://schemas.openxmlformats.org/spreadsheetml/2006/main" xmlns:r="http://schemas.openxmlformats.org/officeDocument/2006/relationships" count="10">
  <r>
    <x v="0"/>
    <x v="0"/>
    <x v="0"/>
    <x v="0"/>
    <x v="0"/>
    <x v="0"/>
    <x v="0"/>
    <x v="0"/>
  </r>
  <r>
    <x v="1"/>
    <x v="1"/>
    <x v="1"/>
    <x v="0"/>
    <x v="1"/>
    <x v="1"/>
    <x v="0"/>
    <x v="1"/>
  </r>
  <r>
    <x v="2"/>
    <x v="2"/>
    <x v="2"/>
    <x v="0"/>
    <x v="2"/>
    <x v="2"/>
    <x v="0"/>
    <x v="2"/>
  </r>
  <r>
    <x v="3"/>
    <x v="3"/>
    <x v="3"/>
    <x v="0"/>
    <x v="3"/>
    <x v="3"/>
    <x v="0"/>
    <x v="3"/>
  </r>
  <r>
    <x v="4"/>
    <x v="4"/>
    <x v="0"/>
    <x v="0"/>
    <x v="4"/>
    <x v="4"/>
    <x v="0"/>
    <x v="4"/>
  </r>
  <r>
    <x v="5"/>
    <x v="5"/>
    <x v="4"/>
    <x v="0"/>
    <x v="2"/>
    <x v="0"/>
    <x v="0"/>
    <x v="0"/>
  </r>
  <r>
    <x v="6"/>
    <x v="6"/>
    <x v="5"/>
    <x v="0"/>
    <x v="5"/>
    <x v="1"/>
    <x v="0"/>
    <x v="5"/>
  </r>
  <r>
    <x v="7"/>
    <x v="7"/>
    <x v="6"/>
    <x v="0"/>
    <x v="0"/>
    <x v="2"/>
    <x v="0"/>
    <x v="5"/>
  </r>
  <r>
    <x v="8"/>
    <x v="8"/>
    <x v="5"/>
    <x v="0"/>
    <x v="1"/>
    <x v="3"/>
    <x v="1"/>
    <x v="6"/>
  </r>
  <r>
    <x v="9"/>
    <x v="9"/>
    <x v="1"/>
    <x v="0"/>
    <x v="6"/>
    <x v="4"/>
    <x v="2"/>
    <x v="7"/>
  </r>
</pivotCacheRecords>
</file>

<file path=xl/pivotCache/pivotCacheRecords3.xml><?xml version="1.0" encoding="utf-8"?>
<pivotCacheRecords xmlns="http://schemas.openxmlformats.org/spreadsheetml/2006/main" xmlns:r="http://schemas.openxmlformats.org/officeDocument/2006/relationships" count="10">
  <r>
    <x v="0"/>
    <x v="0"/>
    <x v="0"/>
    <x v="0"/>
    <x v="0"/>
  </r>
  <r>
    <x v="1"/>
    <x v="1"/>
    <x v="1"/>
    <x v="1"/>
    <x v="1"/>
  </r>
  <r>
    <x v="2"/>
    <x v="2"/>
    <x v="2"/>
    <x v="2"/>
    <x v="2"/>
  </r>
  <r>
    <x v="3"/>
    <x v="3"/>
    <x v="3"/>
    <x v="3"/>
    <x v="3"/>
  </r>
  <r>
    <x v="4"/>
    <x v="4"/>
    <x v="4"/>
    <x v="4"/>
    <x v="4"/>
  </r>
  <r>
    <x v="5"/>
    <x v="5"/>
    <x v="5"/>
    <x v="5"/>
    <x v="5"/>
  </r>
  <r>
    <x v="6"/>
    <x v="6"/>
    <x v="6"/>
    <x v="6"/>
    <x v="4"/>
  </r>
  <r>
    <x v="7"/>
    <x v="7"/>
    <x v="7"/>
    <x v="7"/>
    <x v="0"/>
  </r>
  <r>
    <x v="8"/>
    <x v="8"/>
    <x v="8"/>
    <x v="8"/>
    <x v="4"/>
  </r>
  <r>
    <x v="9"/>
    <x v="9"/>
    <x v="9"/>
    <x v="9"/>
    <x v="4"/>
  </r>
</pivotCacheRecords>
</file>

<file path=xl/pivotCache/pivotCacheRecords4.xml><?xml version="1.0" encoding="utf-8"?>
<pivotCacheRecords xmlns="http://schemas.openxmlformats.org/spreadsheetml/2006/main" xmlns:r="http://schemas.openxmlformats.org/officeDocument/2006/relationships" count="10">
  <r>
    <x v="0"/>
    <x v="0"/>
    <x v="0"/>
    <x v="0"/>
    <x v="0"/>
    <x v="0"/>
  </r>
  <r>
    <x v="1"/>
    <x v="1"/>
    <x v="1"/>
    <x v="1"/>
    <x v="1"/>
    <x v="1"/>
  </r>
  <r>
    <x v="2"/>
    <x v="2"/>
    <x v="2"/>
    <x v="2"/>
    <x v="2"/>
    <x v="2"/>
  </r>
  <r>
    <x v="3"/>
    <x v="3"/>
    <x v="3"/>
    <x v="3"/>
    <x v="0"/>
    <x v="3"/>
  </r>
  <r>
    <x v="4"/>
    <x v="4"/>
    <x v="4"/>
    <x v="0"/>
    <x v="3"/>
    <x v="4"/>
  </r>
  <r>
    <x v="5"/>
    <x v="5"/>
    <x v="5"/>
    <x v="2"/>
    <x v="4"/>
    <x v="5"/>
  </r>
  <r>
    <x v="6"/>
    <x v="6"/>
    <x v="6"/>
    <x v="4"/>
    <x v="0"/>
    <x v="6"/>
  </r>
  <r>
    <x v="7"/>
    <x v="7"/>
    <x v="7"/>
    <x v="3"/>
    <x v="1"/>
    <x v="7"/>
  </r>
  <r>
    <x v="8"/>
    <x v="8"/>
    <x v="8"/>
    <x v="2"/>
    <x v="0"/>
    <x v="8"/>
  </r>
  <r>
    <x v="9"/>
    <x v="9"/>
    <x v="9"/>
    <x v="5"/>
    <x v="3"/>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17:B21" firstHeaderRow="1" firstDataRow="1" firstDataCol="1"/>
  <pivotFields count="6">
    <pivotField showAll="0">
      <items count="11">
        <item x="0"/>
        <item x="1"/>
        <item x="2"/>
        <item x="3"/>
        <item x="4"/>
        <item x="5"/>
        <item x="6"/>
        <item x="7"/>
        <item x="8"/>
        <item x="9"/>
        <item t="default"/>
      </items>
    </pivotField>
    <pivotField showAll="0">
      <items count="11">
        <item x="7"/>
        <item x="0"/>
        <item x="1"/>
        <item x="3"/>
        <item x="6"/>
        <item x="9"/>
        <item x="4"/>
        <item x="2"/>
        <item x="5"/>
        <item x="8"/>
        <item t="default"/>
      </items>
    </pivotField>
    <pivotField axis="axisRow" showAll="0">
      <items count="7">
        <item x="0"/>
        <item x="3"/>
        <item x="1"/>
        <item x="2"/>
        <item x="4"/>
        <item x="5"/>
        <item t="default"/>
      </items>
    </pivotField>
    <pivotField showAll="0">
      <items count="10">
        <item x="2"/>
        <item x="1"/>
        <item x="4"/>
        <item x="8"/>
        <item x="7"/>
        <item x="3"/>
        <item x="5"/>
        <item x="6"/>
        <item x="0"/>
        <item t="default"/>
      </items>
    </pivotField>
    <pivotField dataField="1" showAll="0">
      <items count="10">
        <item x="5"/>
        <item x="1"/>
        <item x="6"/>
        <item x="4"/>
        <item x="3"/>
        <item x="8"/>
        <item x="7"/>
        <item x="2"/>
        <item x="0"/>
        <item t="default"/>
      </items>
    </pivotField>
    <pivotField showAll="0">
      <items count="5">
        <item h="1" x="0"/>
        <item x="2"/>
        <item h="1" x="3"/>
        <item h="1" x="1"/>
        <item t="default"/>
      </items>
    </pivotField>
  </pivotFields>
  <rowFields count="1">
    <field x="2"/>
  </rowFields>
  <rowItems count="4">
    <i>
      <x/>
    </i>
    <i>
      <x v="2"/>
    </i>
    <i>
      <x v="4"/>
    </i>
    <i t="grand">
      <x/>
    </i>
  </rowItems>
  <colItems count="1">
    <i/>
  </colItems>
  <dataFields count="1">
    <dataField name="Sum of Rating" fld="4" baseField="0" baseItem="0"/>
  </dataFields>
  <chartFormats count="14">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 count="1" selected="0">
            <x v="0"/>
          </reference>
        </references>
      </pivotArea>
    </chartFormat>
    <chartFormat chart="16" format="10">
      <pivotArea type="data" outline="0" fieldPosition="0">
        <references count="2">
          <reference field="4294967294" count="1" selected="0">
            <x v="0"/>
          </reference>
          <reference field="2" count="1" selected="0">
            <x v="1"/>
          </reference>
        </references>
      </pivotArea>
    </chartFormat>
    <chartFormat chart="16" format="11">
      <pivotArea type="data" outline="0" fieldPosition="0">
        <references count="2">
          <reference field="4294967294" count="1" selected="0">
            <x v="0"/>
          </reference>
          <reference field="2" count="1" selected="0">
            <x v="2"/>
          </reference>
        </references>
      </pivotArea>
    </chartFormat>
    <chartFormat chart="16" format="12">
      <pivotArea type="data" outline="0" fieldPosition="0">
        <references count="2">
          <reference field="4294967294" count="1" selected="0">
            <x v="0"/>
          </reference>
          <reference field="2" count="1" selected="0">
            <x v="3"/>
          </reference>
        </references>
      </pivotArea>
    </chartFormat>
    <chartFormat chart="16" format="13">
      <pivotArea type="data" outline="0" fieldPosition="0">
        <references count="2">
          <reference field="4294967294" count="1" selected="0">
            <x v="0"/>
          </reference>
          <reference field="2" count="1" selected="0">
            <x v="4"/>
          </reference>
        </references>
      </pivotArea>
    </chartFormat>
    <chartFormat chart="16" format="14">
      <pivotArea type="data" outline="0" fieldPosition="0">
        <references count="2">
          <reference field="4294967294" count="1" selected="0">
            <x v="0"/>
          </reference>
          <reference field="2" count="1" selected="0">
            <x v="5"/>
          </reference>
        </references>
      </pivotArea>
    </chartFormat>
    <chartFormat chart="25" format="22" series="1">
      <pivotArea type="data" outline="0" fieldPosition="0">
        <references count="1">
          <reference field="4294967294" count="1" selected="0">
            <x v="0"/>
          </reference>
        </references>
      </pivotArea>
    </chartFormat>
    <chartFormat chart="25" format="23">
      <pivotArea type="data" outline="0" fieldPosition="0">
        <references count="2">
          <reference field="4294967294" count="1" selected="0">
            <x v="0"/>
          </reference>
          <reference field="2" count="1" selected="0">
            <x v="0"/>
          </reference>
        </references>
      </pivotArea>
    </chartFormat>
    <chartFormat chart="25" format="24">
      <pivotArea type="data" outline="0" fieldPosition="0">
        <references count="2">
          <reference field="4294967294" count="1" selected="0">
            <x v="0"/>
          </reference>
          <reference field="2" count="1" selected="0">
            <x v="1"/>
          </reference>
        </references>
      </pivotArea>
    </chartFormat>
    <chartFormat chart="25" format="25">
      <pivotArea type="data" outline="0" fieldPosition="0">
        <references count="2">
          <reference field="4294967294" count="1" selected="0">
            <x v="0"/>
          </reference>
          <reference field="2" count="1" selected="0">
            <x v="2"/>
          </reference>
        </references>
      </pivotArea>
    </chartFormat>
    <chartFormat chart="25" format="26">
      <pivotArea type="data" outline="0" fieldPosition="0">
        <references count="2">
          <reference field="4294967294" count="1" selected="0">
            <x v="0"/>
          </reference>
          <reference field="2" count="1" selected="0">
            <x v="3"/>
          </reference>
        </references>
      </pivotArea>
    </chartFormat>
    <chartFormat chart="25" format="27">
      <pivotArea type="data" outline="0" fieldPosition="0">
        <references count="2">
          <reference field="4294967294" count="1" selected="0">
            <x v="0"/>
          </reference>
          <reference field="2" count="1" selected="0">
            <x v="4"/>
          </reference>
        </references>
      </pivotArea>
    </chartFormat>
    <chartFormat chart="25" format="2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J3:R14" firstHeaderRow="1" firstDataRow="3" firstDataCol="1"/>
  <pivotFields count="6">
    <pivotField showAll="0">
      <items count="11">
        <item x="0"/>
        <item x="1"/>
        <item x="2"/>
        <item x="3"/>
        <item x="4"/>
        <item x="5"/>
        <item x="6"/>
        <item x="7"/>
        <item x="8"/>
        <item x="9"/>
        <item t="default"/>
      </items>
    </pivotField>
    <pivotField axis="axisRow" showAll="0">
      <items count="11">
        <item x="7"/>
        <item x="0"/>
        <item x="1"/>
        <item x="3"/>
        <item x="6"/>
        <item x="9"/>
        <item x="4"/>
        <item x="2"/>
        <item x="5"/>
        <item x="8"/>
        <item t="default"/>
      </items>
    </pivotField>
    <pivotField axis="axisCol" showAll="0">
      <items count="7">
        <item x="0"/>
        <item x="3"/>
        <item x="1"/>
        <item x="2"/>
        <item x="4"/>
        <item x="5"/>
        <item t="default"/>
      </items>
    </pivotField>
    <pivotField dataField="1" showAll="0">
      <items count="10">
        <item x="2"/>
        <item x="1"/>
        <item x="4"/>
        <item x="8"/>
        <item x="7"/>
        <item x="3"/>
        <item x="5"/>
        <item x="6"/>
        <item x="0"/>
        <item t="default"/>
      </items>
    </pivotField>
    <pivotField dataField="1" showAll="0">
      <items count="10">
        <item x="5"/>
        <item x="1"/>
        <item x="6"/>
        <item x="4"/>
        <item x="3"/>
        <item x="8"/>
        <item x="7"/>
        <item x="2"/>
        <item x="0"/>
        <item t="default"/>
      </items>
    </pivotField>
    <pivotField axis="axisRow" showAll="0">
      <items count="5">
        <item h="1" x="0"/>
        <item x="2"/>
        <item h="1" x="3"/>
        <item h="1" x="1"/>
        <item t="default"/>
      </items>
    </pivotField>
  </pivotFields>
  <rowFields count="2">
    <field x="1"/>
    <field x="5"/>
  </rowFields>
  <rowItems count="9">
    <i>
      <x/>
    </i>
    <i r="1">
      <x v="1"/>
    </i>
    <i>
      <x v="4"/>
    </i>
    <i r="1">
      <x v="1"/>
    </i>
    <i>
      <x v="8"/>
    </i>
    <i r="1">
      <x v="1"/>
    </i>
    <i>
      <x v="9"/>
    </i>
    <i r="1">
      <x v="1"/>
    </i>
    <i t="grand">
      <x/>
    </i>
  </rowItems>
  <colFields count="2">
    <field x="-2"/>
    <field x="2"/>
  </colFields>
  <colItems count="8">
    <i>
      <x/>
      <x/>
    </i>
    <i r="1">
      <x v="2"/>
    </i>
    <i r="1">
      <x v="4"/>
    </i>
    <i i="1">
      <x v="1"/>
      <x/>
    </i>
    <i r="1" i="1">
      <x v="2"/>
    </i>
    <i r="1" i="1">
      <x v="4"/>
    </i>
    <i t="grand">
      <x/>
    </i>
    <i t="grand" i="1">
      <x/>
    </i>
  </colItems>
  <dataFields count="2">
    <dataField name="Sum of Rating" fld="4" baseField="0" baseItem="0"/>
    <dataField name="Sum of Duration" fld="3" baseField="0" baseItem="0"/>
  </dataFields>
  <chartFormats count="96">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1" count="1" selected="0">
            <x v="0"/>
          </reference>
        </references>
      </pivotArea>
    </chartFormat>
    <chartFormat chart="14" format="26">
      <pivotArea type="data" outline="0" fieldPosition="0">
        <references count="2">
          <reference field="4294967294" count="1" selected="0">
            <x v="0"/>
          </reference>
          <reference field="1" count="1" selected="0">
            <x v="1"/>
          </reference>
        </references>
      </pivotArea>
    </chartFormat>
    <chartFormat chart="14" format="27">
      <pivotArea type="data" outline="0" fieldPosition="0">
        <references count="2">
          <reference field="4294967294" count="1" selected="0">
            <x v="0"/>
          </reference>
          <reference field="1" count="1" selected="0">
            <x v="2"/>
          </reference>
        </references>
      </pivotArea>
    </chartFormat>
    <chartFormat chart="14" format="28">
      <pivotArea type="data" outline="0" fieldPosition="0">
        <references count="2">
          <reference field="4294967294" count="1" selected="0">
            <x v="0"/>
          </reference>
          <reference field="1" count="1" selected="0">
            <x v="3"/>
          </reference>
        </references>
      </pivotArea>
    </chartFormat>
    <chartFormat chart="14" format="29">
      <pivotArea type="data" outline="0" fieldPosition="0">
        <references count="2">
          <reference field="4294967294" count="1" selected="0">
            <x v="0"/>
          </reference>
          <reference field="1" count="1" selected="0">
            <x v="4"/>
          </reference>
        </references>
      </pivotArea>
    </chartFormat>
    <chartFormat chart="14" format="30">
      <pivotArea type="data" outline="0" fieldPosition="0">
        <references count="2">
          <reference field="4294967294" count="1" selected="0">
            <x v="0"/>
          </reference>
          <reference field="1" count="1" selected="0">
            <x v="5"/>
          </reference>
        </references>
      </pivotArea>
    </chartFormat>
    <chartFormat chart="14" format="31">
      <pivotArea type="data" outline="0" fieldPosition="0">
        <references count="2">
          <reference field="4294967294" count="1" selected="0">
            <x v="0"/>
          </reference>
          <reference field="1" count="1" selected="0">
            <x v="6"/>
          </reference>
        </references>
      </pivotArea>
    </chartFormat>
    <chartFormat chart="14" format="32">
      <pivotArea type="data" outline="0" fieldPosition="0">
        <references count="2">
          <reference field="4294967294" count="1" selected="0">
            <x v="0"/>
          </reference>
          <reference field="1" count="1" selected="0">
            <x v="7"/>
          </reference>
        </references>
      </pivotArea>
    </chartFormat>
    <chartFormat chart="14" format="33">
      <pivotArea type="data" outline="0" fieldPosition="0">
        <references count="2">
          <reference field="4294967294" count="1" selected="0">
            <x v="0"/>
          </reference>
          <reference field="1" count="1" selected="0">
            <x v="8"/>
          </reference>
        </references>
      </pivotArea>
    </chartFormat>
    <chartFormat chart="14" format="34">
      <pivotArea type="data" outline="0" fieldPosition="0">
        <references count="2">
          <reference field="4294967294" count="1" selected="0">
            <x v="0"/>
          </reference>
          <reference field="1" count="1" selected="0">
            <x v="9"/>
          </reference>
        </references>
      </pivotArea>
    </chartFormat>
    <chartFormat chart="14" format="35" series="1">
      <pivotArea type="data" outline="0" fieldPosition="0">
        <references count="1">
          <reference field="4294967294" count="1" selected="0">
            <x v="1"/>
          </reference>
        </references>
      </pivotArea>
    </chartFormat>
    <chartFormat chart="14" format="36">
      <pivotArea type="data" outline="0" fieldPosition="0">
        <references count="2">
          <reference field="4294967294" count="1" selected="0">
            <x v="1"/>
          </reference>
          <reference field="1" count="1" selected="0">
            <x v="0"/>
          </reference>
        </references>
      </pivotArea>
    </chartFormat>
    <chartFormat chart="14" format="37">
      <pivotArea type="data" outline="0" fieldPosition="0">
        <references count="2">
          <reference field="4294967294" count="1" selected="0">
            <x v="1"/>
          </reference>
          <reference field="1" count="1" selected="0">
            <x v="1"/>
          </reference>
        </references>
      </pivotArea>
    </chartFormat>
    <chartFormat chart="14" format="38">
      <pivotArea type="data" outline="0" fieldPosition="0">
        <references count="2">
          <reference field="4294967294" count="1" selected="0">
            <x v="1"/>
          </reference>
          <reference field="1" count="1" selected="0">
            <x v="2"/>
          </reference>
        </references>
      </pivotArea>
    </chartFormat>
    <chartFormat chart="14" format="39">
      <pivotArea type="data" outline="0" fieldPosition="0">
        <references count="2">
          <reference field="4294967294" count="1" selected="0">
            <x v="1"/>
          </reference>
          <reference field="1" count="1" selected="0">
            <x v="3"/>
          </reference>
        </references>
      </pivotArea>
    </chartFormat>
    <chartFormat chart="14" format="40">
      <pivotArea type="data" outline="0" fieldPosition="0">
        <references count="2">
          <reference field="4294967294" count="1" selected="0">
            <x v="1"/>
          </reference>
          <reference field="1" count="1" selected="0">
            <x v="4"/>
          </reference>
        </references>
      </pivotArea>
    </chartFormat>
    <chartFormat chart="14" format="41">
      <pivotArea type="data" outline="0" fieldPosition="0">
        <references count="2">
          <reference field="4294967294" count="1" selected="0">
            <x v="1"/>
          </reference>
          <reference field="1" count="1" selected="0">
            <x v="5"/>
          </reference>
        </references>
      </pivotArea>
    </chartFormat>
    <chartFormat chart="14" format="42">
      <pivotArea type="data" outline="0" fieldPosition="0">
        <references count="2">
          <reference field="4294967294" count="1" selected="0">
            <x v="1"/>
          </reference>
          <reference field="1" count="1" selected="0">
            <x v="6"/>
          </reference>
        </references>
      </pivotArea>
    </chartFormat>
    <chartFormat chart="14" format="43">
      <pivotArea type="data" outline="0" fieldPosition="0">
        <references count="2">
          <reference field="4294967294" count="1" selected="0">
            <x v="1"/>
          </reference>
          <reference field="1" count="1" selected="0">
            <x v="7"/>
          </reference>
        </references>
      </pivotArea>
    </chartFormat>
    <chartFormat chart="14" format="44">
      <pivotArea type="data" outline="0" fieldPosition="0">
        <references count="2">
          <reference field="4294967294" count="1" selected="0">
            <x v="1"/>
          </reference>
          <reference field="1" count="1" selected="0">
            <x v="8"/>
          </reference>
        </references>
      </pivotArea>
    </chartFormat>
    <chartFormat chart="14" format="45">
      <pivotArea type="data" outline="0" fieldPosition="0">
        <references count="2">
          <reference field="4294967294" count="1" selected="0">
            <x v="1"/>
          </reference>
          <reference field="1" count="1" selected="0">
            <x v="9"/>
          </reference>
        </references>
      </pivotArea>
    </chartFormat>
    <chartFormat chart="16" format="0" series="1">
      <pivotArea type="data" outline="0" fieldPosition="0">
        <references count="2">
          <reference field="4294967294" count="1" selected="0">
            <x v="0"/>
          </reference>
          <reference field="2" count="1" selected="0">
            <x v="0"/>
          </reference>
        </references>
      </pivotArea>
    </chartFormat>
    <chartFormat chart="16"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2"/>
          </reference>
        </references>
      </pivotArea>
    </chartFormat>
    <chartFormat chart="16" format="3" series="1">
      <pivotArea type="data" outline="0" fieldPosition="0">
        <references count="2">
          <reference field="4294967294" count="1" selected="0">
            <x v="0"/>
          </reference>
          <reference field="2" count="1" selected="0">
            <x v="3"/>
          </reference>
        </references>
      </pivotArea>
    </chartFormat>
    <chartFormat chart="16" format="4" series="1">
      <pivotArea type="data" outline="0" fieldPosition="0">
        <references count="2">
          <reference field="4294967294" count="1" selected="0">
            <x v="0"/>
          </reference>
          <reference field="2" count="1" selected="0">
            <x v="4"/>
          </reference>
        </references>
      </pivotArea>
    </chartFormat>
    <chartFormat chart="16" format="5" series="1">
      <pivotArea type="data" outline="0" fieldPosition="0">
        <references count="2">
          <reference field="4294967294" count="1" selected="0">
            <x v="0"/>
          </reference>
          <reference field="2" count="1" selected="0">
            <x v="5"/>
          </reference>
        </references>
      </pivotArea>
    </chartFormat>
    <chartFormat chart="16" format="6" series="1">
      <pivotArea type="data" outline="0" fieldPosition="0">
        <references count="2">
          <reference field="4294967294" count="1" selected="0">
            <x v="1"/>
          </reference>
          <reference field="2" count="1" selected="0">
            <x v="0"/>
          </reference>
        </references>
      </pivotArea>
    </chartFormat>
    <chartFormat chart="16" format="7" series="1">
      <pivotArea type="data" outline="0" fieldPosition="0">
        <references count="2">
          <reference field="4294967294" count="1" selected="0">
            <x v="1"/>
          </reference>
          <reference field="2" count="1" selected="0">
            <x v="1"/>
          </reference>
        </references>
      </pivotArea>
    </chartFormat>
    <chartFormat chart="16" format="8" series="1">
      <pivotArea type="data" outline="0" fieldPosition="0">
        <references count="2">
          <reference field="4294967294" count="1" selected="0">
            <x v="1"/>
          </reference>
          <reference field="2" count="1" selected="0">
            <x v="2"/>
          </reference>
        </references>
      </pivotArea>
    </chartFormat>
    <chartFormat chart="16" format="9" series="1">
      <pivotArea type="data" outline="0" fieldPosition="0">
        <references count="2">
          <reference field="4294967294" count="1" selected="0">
            <x v="1"/>
          </reference>
          <reference field="2" count="1" selected="0">
            <x v="3"/>
          </reference>
        </references>
      </pivotArea>
    </chartFormat>
    <chartFormat chart="16" format="10" series="1">
      <pivotArea type="data" outline="0" fieldPosition="0">
        <references count="2">
          <reference field="4294967294" count="1" selected="0">
            <x v="1"/>
          </reference>
          <reference field="2" count="1" selected="0">
            <x v="4"/>
          </reference>
        </references>
      </pivotArea>
    </chartFormat>
    <chartFormat chart="16" format="11" series="1">
      <pivotArea type="data" outline="0" fieldPosition="0">
        <references count="2">
          <reference field="4294967294" count="1" selected="0">
            <x v="1"/>
          </reference>
          <reference field="2" count="1" selected="0">
            <x v="5"/>
          </reference>
        </references>
      </pivotArea>
    </chartFormat>
    <chartFormat chart="19" format="24" series="1">
      <pivotArea type="data" outline="0" fieldPosition="0">
        <references count="2">
          <reference field="4294967294" count="1" selected="0">
            <x v="0"/>
          </reference>
          <reference field="2" count="1" selected="0">
            <x v="0"/>
          </reference>
        </references>
      </pivotArea>
    </chartFormat>
    <chartFormat chart="19" format="25" series="1">
      <pivotArea type="data" outline="0" fieldPosition="0">
        <references count="2">
          <reference field="4294967294" count="1" selected="0">
            <x v="0"/>
          </reference>
          <reference field="2" count="1" selected="0">
            <x v="1"/>
          </reference>
        </references>
      </pivotArea>
    </chartFormat>
    <chartFormat chart="19" format="26" series="1">
      <pivotArea type="data" outline="0" fieldPosition="0">
        <references count="2">
          <reference field="4294967294" count="1" selected="0">
            <x v="0"/>
          </reference>
          <reference field="2" count="1" selected="0">
            <x v="2"/>
          </reference>
        </references>
      </pivotArea>
    </chartFormat>
    <chartFormat chart="19" format="27" series="1">
      <pivotArea type="data" outline="0" fieldPosition="0">
        <references count="2">
          <reference field="4294967294" count="1" selected="0">
            <x v="0"/>
          </reference>
          <reference field="2" count="1" selected="0">
            <x v="3"/>
          </reference>
        </references>
      </pivotArea>
    </chartFormat>
    <chartFormat chart="19" format="28" series="1">
      <pivotArea type="data" outline="0" fieldPosition="0">
        <references count="2">
          <reference field="4294967294" count="1" selected="0">
            <x v="0"/>
          </reference>
          <reference field="2" count="1" selected="0">
            <x v="4"/>
          </reference>
        </references>
      </pivotArea>
    </chartFormat>
    <chartFormat chart="19" format="29" series="1">
      <pivotArea type="data" outline="0" fieldPosition="0">
        <references count="2">
          <reference field="4294967294" count="1" selected="0">
            <x v="0"/>
          </reference>
          <reference field="2" count="1" selected="0">
            <x v="5"/>
          </reference>
        </references>
      </pivotArea>
    </chartFormat>
    <chartFormat chart="19" format="30" series="1">
      <pivotArea type="data" outline="0" fieldPosition="0">
        <references count="2">
          <reference field="4294967294" count="1" selected="0">
            <x v="1"/>
          </reference>
          <reference field="2" count="1" selected="0">
            <x v="0"/>
          </reference>
        </references>
      </pivotArea>
    </chartFormat>
    <chartFormat chart="19" format="31" series="1">
      <pivotArea type="data" outline="0" fieldPosition="0">
        <references count="2">
          <reference field="4294967294" count="1" selected="0">
            <x v="1"/>
          </reference>
          <reference field="2" count="1" selected="0">
            <x v="1"/>
          </reference>
        </references>
      </pivotArea>
    </chartFormat>
    <chartFormat chart="19" format="32" series="1">
      <pivotArea type="data" outline="0" fieldPosition="0">
        <references count="2">
          <reference field="4294967294" count="1" selected="0">
            <x v="1"/>
          </reference>
          <reference field="2" count="1" selected="0">
            <x v="2"/>
          </reference>
        </references>
      </pivotArea>
    </chartFormat>
    <chartFormat chart="19" format="33" series="1">
      <pivotArea type="data" outline="0" fieldPosition="0">
        <references count="2">
          <reference field="4294967294" count="1" selected="0">
            <x v="1"/>
          </reference>
          <reference field="2" count="1" selected="0">
            <x v="3"/>
          </reference>
        </references>
      </pivotArea>
    </chartFormat>
    <chartFormat chart="19" format="34" series="1">
      <pivotArea type="data" outline="0" fieldPosition="0">
        <references count="2">
          <reference field="4294967294" count="1" selected="0">
            <x v="1"/>
          </reference>
          <reference field="2" count="1" selected="0">
            <x v="4"/>
          </reference>
        </references>
      </pivotArea>
    </chartFormat>
    <chartFormat chart="19" format="35" series="1">
      <pivotArea type="data" outline="0" fieldPosition="0">
        <references count="2">
          <reference field="4294967294" count="1" selected="0">
            <x v="1"/>
          </reference>
          <reference field="2" count="1" selected="0">
            <x v="5"/>
          </reference>
        </references>
      </pivotArea>
    </chartFormat>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1"/>
          </reference>
          <reference field="2" count="1" selected="0">
            <x v="0"/>
          </reference>
        </references>
      </pivotArea>
    </chartFormat>
    <chartFormat chart="25" format="7" series="1">
      <pivotArea type="data" outline="0" fieldPosition="0">
        <references count="2">
          <reference field="4294967294" count="1" selected="0">
            <x v="1"/>
          </reference>
          <reference field="2" count="1" selected="0">
            <x v="1"/>
          </reference>
        </references>
      </pivotArea>
    </chartFormat>
    <chartFormat chart="25" format="8" series="1">
      <pivotArea type="data" outline="0" fieldPosition="0">
        <references count="2">
          <reference field="4294967294" count="1" selected="0">
            <x v="1"/>
          </reference>
          <reference field="2" count="1" selected="0">
            <x v="2"/>
          </reference>
        </references>
      </pivotArea>
    </chartFormat>
    <chartFormat chart="25" format="9" series="1">
      <pivotArea type="data" outline="0" fieldPosition="0">
        <references count="2">
          <reference field="4294967294" count="1" selected="0">
            <x v="1"/>
          </reference>
          <reference field="2" count="1" selected="0">
            <x v="3"/>
          </reference>
        </references>
      </pivotArea>
    </chartFormat>
    <chartFormat chart="25" format="10" series="1">
      <pivotArea type="data" outline="0" fieldPosition="0">
        <references count="2">
          <reference field="4294967294" count="1" selected="0">
            <x v="1"/>
          </reference>
          <reference field="2" count="1" selected="0">
            <x v="4"/>
          </reference>
        </references>
      </pivotArea>
    </chartFormat>
    <chartFormat chart="25" format="11" series="1">
      <pivotArea type="data" outline="0" fieldPosition="0">
        <references count="2">
          <reference field="4294967294" count="1" selected="0">
            <x v="1"/>
          </reference>
          <reference field="2" count="1" selected="0">
            <x v="5"/>
          </reference>
        </references>
      </pivotArea>
    </chartFormat>
    <chartFormat chart="26" format="12" series="1">
      <pivotArea type="data" outline="0" fieldPosition="0">
        <references count="2">
          <reference field="4294967294" count="1" selected="0">
            <x v="0"/>
          </reference>
          <reference field="2" count="1" selected="0">
            <x v="0"/>
          </reference>
        </references>
      </pivotArea>
    </chartFormat>
    <chartFormat chart="26" format="13" series="1">
      <pivotArea type="data" outline="0" fieldPosition="0">
        <references count="2">
          <reference field="4294967294" count="1" selected="0">
            <x v="0"/>
          </reference>
          <reference field="2" count="1" selected="0">
            <x v="1"/>
          </reference>
        </references>
      </pivotArea>
    </chartFormat>
    <chartFormat chart="26" format="14" series="1">
      <pivotArea type="data" outline="0" fieldPosition="0">
        <references count="2">
          <reference field="4294967294" count="1" selected="0">
            <x v="0"/>
          </reference>
          <reference field="2" count="1" selected="0">
            <x v="2"/>
          </reference>
        </references>
      </pivotArea>
    </chartFormat>
    <chartFormat chart="26" format="15" series="1">
      <pivotArea type="data" outline="0" fieldPosition="0">
        <references count="2">
          <reference field="4294967294" count="1" selected="0">
            <x v="0"/>
          </reference>
          <reference field="2" count="1" selected="0">
            <x v="3"/>
          </reference>
        </references>
      </pivotArea>
    </chartFormat>
    <chartFormat chart="26" format="16" series="1">
      <pivotArea type="data" outline="0" fieldPosition="0">
        <references count="2">
          <reference field="4294967294" count="1" selected="0">
            <x v="0"/>
          </reference>
          <reference field="2" count="1" selected="0">
            <x v="4"/>
          </reference>
        </references>
      </pivotArea>
    </chartFormat>
    <chartFormat chart="26" format="17" series="1">
      <pivotArea type="data" outline="0" fieldPosition="0">
        <references count="2">
          <reference field="4294967294" count="1" selected="0">
            <x v="0"/>
          </reference>
          <reference field="2" count="1" selected="0">
            <x v="5"/>
          </reference>
        </references>
      </pivotArea>
    </chartFormat>
    <chartFormat chart="26" format="18" series="1">
      <pivotArea type="data" outline="0" fieldPosition="0">
        <references count="2">
          <reference field="4294967294" count="1" selected="0">
            <x v="1"/>
          </reference>
          <reference field="2" count="1" selected="0">
            <x v="0"/>
          </reference>
        </references>
      </pivotArea>
    </chartFormat>
    <chartFormat chart="26" format="19" series="1">
      <pivotArea type="data" outline="0" fieldPosition="0">
        <references count="2">
          <reference field="4294967294" count="1" selected="0">
            <x v="1"/>
          </reference>
          <reference field="2" count="1" selected="0">
            <x v="1"/>
          </reference>
        </references>
      </pivotArea>
    </chartFormat>
    <chartFormat chart="26" format="20" series="1">
      <pivotArea type="data" outline="0" fieldPosition="0">
        <references count="2">
          <reference field="4294967294" count="1" selected="0">
            <x v="1"/>
          </reference>
          <reference field="2" count="1" selected="0">
            <x v="2"/>
          </reference>
        </references>
      </pivotArea>
    </chartFormat>
    <chartFormat chart="26" format="21" series="1">
      <pivotArea type="data" outline="0" fieldPosition="0">
        <references count="2">
          <reference field="4294967294" count="1" selected="0">
            <x v="1"/>
          </reference>
          <reference field="2" count="1" selected="0">
            <x v="3"/>
          </reference>
        </references>
      </pivotArea>
    </chartFormat>
    <chartFormat chart="26" format="22" series="1">
      <pivotArea type="data" outline="0" fieldPosition="0">
        <references count="2">
          <reference field="4294967294" count="1" selected="0">
            <x v="1"/>
          </reference>
          <reference field="2" count="1" selected="0">
            <x v="4"/>
          </reference>
        </references>
      </pivotArea>
    </chartFormat>
    <chartFormat chart="26" format="23" series="1">
      <pivotArea type="data" outline="0" fieldPosition="0">
        <references count="2">
          <reference field="4294967294" count="1" selected="0">
            <x v="1"/>
          </reference>
          <reference field="2" count="1" selected="0">
            <x v="5"/>
          </reference>
        </references>
      </pivotArea>
    </chartFormat>
    <chartFormat chart="27" format="24" series="1">
      <pivotArea type="data" outline="0" fieldPosition="0">
        <references count="2">
          <reference field="4294967294" count="1" selected="0">
            <x v="0"/>
          </reference>
          <reference field="2" count="1" selected="0">
            <x v="0"/>
          </reference>
        </references>
      </pivotArea>
    </chartFormat>
    <chartFormat chart="27" format="25" series="1">
      <pivotArea type="data" outline="0" fieldPosition="0">
        <references count="2">
          <reference field="4294967294" count="1" selected="0">
            <x v="0"/>
          </reference>
          <reference field="2" count="1" selected="0">
            <x v="1"/>
          </reference>
        </references>
      </pivotArea>
    </chartFormat>
    <chartFormat chart="27" format="26" series="1">
      <pivotArea type="data" outline="0" fieldPosition="0">
        <references count="2">
          <reference field="4294967294" count="1" selected="0">
            <x v="0"/>
          </reference>
          <reference field="2" count="1" selected="0">
            <x v="2"/>
          </reference>
        </references>
      </pivotArea>
    </chartFormat>
    <chartFormat chart="27" format="27" series="1">
      <pivotArea type="data" outline="0" fieldPosition="0">
        <references count="2">
          <reference field="4294967294" count="1" selected="0">
            <x v="0"/>
          </reference>
          <reference field="2" count="1" selected="0">
            <x v="3"/>
          </reference>
        </references>
      </pivotArea>
    </chartFormat>
    <chartFormat chart="27" format="28" series="1">
      <pivotArea type="data" outline="0" fieldPosition="0">
        <references count="2">
          <reference field="4294967294" count="1" selected="0">
            <x v="0"/>
          </reference>
          <reference field="2" count="1" selected="0">
            <x v="4"/>
          </reference>
        </references>
      </pivotArea>
    </chartFormat>
    <chartFormat chart="27" format="29" series="1">
      <pivotArea type="data" outline="0" fieldPosition="0">
        <references count="2">
          <reference field="4294967294" count="1" selected="0">
            <x v="0"/>
          </reference>
          <reference field="2" count="1" selected="0">
            <x v="5"/>
          </reference>
        </references>
      </pivotArea>
    </chartFormat>
    <chartFormat chart="27" format="30" series="1">
      <pivotArea type="data" outline="0" fieldPosition="0">
        <references count="2">
          <reference field="4294967294" count="1" selected="0">
            <x v="1"/>
          </reference>
          <reference field="2" count="1" selected="0">
            <x v="0"/>
          </reference>
        </references>
      </pivotArea>
    </chartFormat>
    <chartFormat chart="27" format="31" series="1">
      <pivotArea type="data" outline="0" fieldPosition="0">
        <references count="2">
          <reference field="4294967294" count="1" selected="0">
            <x v="1"/>
          </reference>
          <reference field="2" count="1" selected="0">
            <x v="1"/>
          </reference>
        </references>
      </pivotArea>
    </chartFormat>
    <chartFormat chart="27" format="32" series="1">
      <pivotArea type="data" outline="0" fieldPosition="0">
        <references count="2">
          <reference field="4294967294" count="1" selected="0">
            <x v="1"/>
          </reference>
          <reference field="2" count="1" selected="0">
            <x v="2"/>
          </reference>
        </references>
      </pivotArea>
    </chartFormat>
    <chartFormat chart="27" format="33" series="1">
      <pivotArea type="data" outline="0" fieldPosition="0">
        <references count="2">
          <reference field="4294967294" count="1" selected="0">
            <x v="1"/>
          </reference>
          <reference field="2" count="1" selected="0">
            <x v="3"/>
          </reference>
        </references>
      </pivotArea>
    </chartFormat>
    <chartFormat chart="27" format="34" series="1">
      <pivotArea type="data" outline="0" fieldPosition="0">
        <references count="2">
          <reference field="4294967294" count="1" selected="0">
            <x v="1"/>
          </reference>
          <reference field="2" count="1" selected="0">
            <x v="4"/>
          </reference>
        </references>
      </pivotArea>
    </chartFormat>
    <chartFormat chart="27" format="35" series="1">
      <pivotArea type="data" outline="0" fieldPosition="0">
        <references count="2">
          <reference field="4294967294" count="1" selected="0">
            <x v="1"/>
          </reference>
          <reference field="2" count="1" selected="0">
            <x v="5"/>
          </reference>
        </references>
      </pivotArea>
    </chartFormat>
    <chartFormat chart="28" format="36" series="1">
      <pivotArea type="data" outline="0" fieldPosition="0">
        <references count="2">
          <reference field="4294967294" count="1" selected="0">
            <x v="0"/>
          </reference>
          <reference field="2" count="1" selected="0">
            <x v="2"/>
          </reference>
        </references>
      </pivotArea>
    </chartFormat>
    <chartFormat chart="28" format="37" series="1">
      <pivotArea type="data" outline="0" fieldPosition="0">
        <references count="2">
          <reference field="4294967294" count="1" selected="0">
            <x v="0"/>
          </reference>
          <reference field="2" count="1" selected="0">
            <x v="3"/>
          </reference>
        </references>
      </pivotArea>
    </chartFormat>
    <chartFormat chart="28" format="38" series="1">
      <pivotArea type="data" outline="0" fieldPosition="0">
        <references count="2">
          <reference field="4294967294" count="1" selected="0">
            <x v="0"/>
          </reference>
          <reference field="2" count="1" selected="0">
            <x v="4"/>
          </reference>
        </references>
      </pivotArea>
    </chartFormat>
    <chartFormat chart="28" format="39" series="1">
      <pivotArea type="data" outline="0" fieldPosition="0">
        <references count="2">
          <reference field="4294967294" count="1" selected="0">
            <x v="0"/>
          </reference>
          <reference field="2" count="1" selected="0">
            <x v="5"/>
          </reference>
        </references>
      </pivotArea>
    </chartFormat>
    <chartFormat chart="28" format="40" series="1">
      <pivotArea type="data" outline="0" fieldPosition="0">
        <references count="2">
          <reference field="4294967294" count="1" selected="0">
            <x v="1"/>
          </reference>
          <reference field="2" count="1" selected="0">
            <x v="0"/>
          </reference>
        </references>
      </pivotArea>
    </chartFormat>
    <chartFormat chart="28" format="41" series="1">
      <pivotArea type="data" outline="0" fieldPosition="0">
        <references count="2">
          <reference field="4294967294" count="1" selected="0">
            <x v="1"/>
          </reference>
          <reference field="2" count="1" selected="0">
            <x v="1"/>
          </reference>
        </references>
      </pivotArea>
    </chartFormat>
    <chartFormat chart="28" format="42" series="1">
      <pivotArea type="data" outline="0" fieldPosition="0">
        <references count="2">
          <reference field="4294967294" count="1" selected="0">
            <x v="1"/>
          </reference>
          <reference field="2" count="1" selected="0">
            <x v="2"/>
          </reference>
        </references>
      </pivotArea>
    </chartFormat>
    <chartFormat chart="28" format="43" series="1">
      <pivotArea type="data" outline="0" fieldPosition="0">
        <references count="2">
          <reference field="4294967294" count="1" selected="0">
            <x v="1"/>
          </reference>
          <reference field="2" count="1" selected="0">
            <x v="3"/>
          </reference>
        </references>
      </pivotArea>
    </chartFormat>
    <chartFormat chart="28" format="44" series="1">
      <pivotArea type="data" outline="0" fieldPosition="0">
        <references count="2">
          <reference field="4294967294" count="1" selected="0">
            <x v="1"/>
          </reference>
          <reference field="2" count="1" selected="0">
            <x v="4"/>
          </reference>
        </references>
      </pivotArea>
    </chartFormat>
    <chartFormat chart="28" format="45" series="1">
      <pivotArea type="data" outline="0" fieldPosition="0">
        <references count="2">
          <reference field="4294967294" count="1" selected="0">
            <x v="1"/>
          </reference>
          <reference field="2" count="1" selected="0">
            <x v="5"/>
          </reference>
        </references>
      </pivotArea>
    </chartFormat>
    <chartFormat chart="28" format="46" series="1">
      <pivotArea type="data" outline="0" fieldPosition="0">
        <references count="2">
          <reference field="4294967294" count="1" selected="0">
            <x v="0"/>
          </reference>
          <reference field="2" count="1" selected="0">
            <x v="0"/>
          </reference>
        </references>
      </pivotArea>
    </chartFormat>
    <chartFormat chart="28" format="47" series="1">
      <pivotArea type="data" outline="0" fieldPosition="0">
        <references count="2">
          <reference field="4294967294" count="1" selected="0">
            <x v="0"/>
          </reference>
          <reference field="2" count="1" selected="0">
            <x v="1"/>
          </reference>
        </references>
      </pivotArea>
    </chartFormat>
    <chartFormat chart="28" format="48" series="1">
      <pivotArea type="data" grandCol="1" outline="0" fieldPosition="0">
        <references count="1">
          <reference field="4294967294" count="1" selected="0">
            <x v="0"/>
          </reference>
        </references>
      </pivotArea>
    </chartFormat>
    <chartFormat chart="28" format="49"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C8" firstHeaderRow="0" firstDataRow="1" firstDataCol="1"/>
  <pivotFields count="6">
    <pivotField showAll="0">
      <items count="11">
        <item x="0"/>
        <item x="1"/>
        <item x="2"/>
        <item x="3"/>
        <item x="4"/>
        <item x="5"/>
        <item x="6"/>
        <item x="7"/>
        <item x="8"/>
        <item x="9"/>
        <item t="default"/>
      </items>
    </pivotField>
    <pivotField axis="axisRow" showAll="0">
      <items count="11">
        <item x="7"/>
        <item x="0"/>
        <item x="1"/>
        <item x="3"/>
        <item x="6"/>
        <item x="9"/>
        <item x="4"/>
        <item x="2"/>
        <item x="5"/>
        <item x="8"/>
        <item t="default"/>
      </items>
    </pivotField>
    <pivotField showAll="0">
      <items count="7">
        <item x="0"/>
        <item x="3"/>
        <item x="1"/>
        <item x="2"/>
        <item x="4"/>
        <item x="5"/>
        <item t="default"/>
      </items>
    </pivotField>
    <pivotField dataField="1" showAll="0">
      <items count="10">
        <item x="2"/>
        <item x="1"/>
        <item x="4"/>
        <item x="8"/>
        <item x="7"/>
        <item x="3"/>
        <item x="5"/>
        <item x="6"/>
        <item x="0"/>
        <item t="default"/>
      </items>
    </pivotField>
    <pivotField dataField="1" showAll="0">
      <items count="10">
        <item x="5"/>
        <item x="1"/>
        <item x="6"/>
        <item x="4"/>
        <item x="3"/>
        <item x="8"/>
        <item x="7"/>
        <item x="2"/>
        <item x="0"/>
        <item t="default"/>
      </items>
    </pivotField>
    <pivotField showAll="0">
      <items count="5">
        <item h="1" x="0"/>
        <item x="2"/>
        <item h="1" x="3"/>
        <item h="1" x="1"/>
        <item t="default"/>
      </items>
    </pivotField>
  </pivotFields>
  <rowFields count="1">
    <field x="1"/>
  </rowFields>
  <rowItems count="5">
    <i>
      <x/>
    </i>
    <i>
      <x v="4"/>
    </i>
    <i>
      <x v="8"/>
    </i>
    <i>
      <x v="9"/>
    </i>
    <i t="grand">
      <x/>
    </i>
  </rowItems>
  <colFields count="1">
    <field x="-2"/>
  </colFields>
  <colItems count="2">
    <i>
      <x/>
    </i>
    <i i="1">
      <x v="1"/>
    </i>
  </colItems>
  <dataFields count="2">
    <dataField name="Sum of Rating" fld="4" baseField="0" baseItem="0"/>
    <dataField name="Sum of Duration" fld="3" baseField="0" baseItem="0"/>
  </dataFields>
  <chartFormats count="44">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1" count="1" selected="0">
            <x v="0"/>
          </reference>
        </references>
      </pivotArea>
    </chartFormat>
    <chartFormat chart="14" format="26">
      <pivotArea type="data" outline="0" fieldPosition="0">
        <references count="2">
          <reference field="4294967294" count="1" selected="0">
            <x v="0"/>
          </reference>
          <reference field="1" count="1" selected="0">
            <x v="1"/>
          </reference>
        </references>
      </pivotArea>
    </chartFormat>
    <chartFormat chart="14" format="27">
      <pivotArea type="data" outline="0" fieldPosition="0">
        <references count="2">
          <reference field="4294967294" count="1" selected="0">
            <x v="0"/>
          </reference>
          <reference field="1" count="1" selected="0">
            <x v="2"/>
          </reference>
        </references>
      </pivotArea>
    </chartFormat>
    <chartFormat chart="14" format="28">
      <pivotArea type="data" outline="0" fieldPosition="0">
        <references count="2">
          <reference field="4294967294" count="1" selected="0">
            <x v="0"/>
          </reference>
          <reference field="1" count="1" selected="0">
            <x v="3"/>
          </reference>
        </references>
      </pivotArea>
    </chartFormat>
    <chartFormat chart="14" format="29">
      <pivotArea type="data" outline="0" fieldPosition="0">
        <references count="2">
          <reference field="4294967294" count="1" selected="0">
            <x v="0"/>
          </reference>
          <reference field="1" count="1" selected="0">
            <x v="4"/>
          </reference>
        </references>
      </pivotArea>
    </chartFormat>
    <chartFormat chart="14" format="30">
      <pivotArea type="data" outline="0" fieldPosition="0">
        <references count="2">
          <reference field="4294967294" count="1" selected="0">
            <x v="0"/>
          </reference>
          <reference field="1" count="1" selected="0">
            <x v="5"/>
          </reference>
        </references>
      </pivotArea>
    </chartFormat>
    <chartFormat chart="14" format="31">
      <pivotArea type="data" outline="0" fieldPosition="0">
        <references count="2">
          <reference field="4294967294" count="1" selected="0">
            <x v="0"/>
          </reference>
          <reference field="1" count="1" selected="0">
            <x v="6"/>
          </reference>
        </references>
      </pivotArea>
    </chartFormat>
    <chartFormat chart="14" format="32">
      <pivotArea type="data" outline="0" fieldPosition="0">
        <references count="2">
          <reference field="4294967294" count="1" selected="0">
            <x v="0"/>
          </reference>
          <reference field="1" count="1" selected="0">
            <x v="7"/>
          </reference>
        </references>
      </pivotArea>
    </chartFormat>
    <chartFormat chart="14" format="33">
      <pivotArea type="data" outline="0" fieldPosition="0">
        <references count="2">
          <reference field="4294967294" count="1" selected="0">
            <x v="0"/>
          </reference>
          <reference field="1" count="1" selected="0">
            <x v="8"/>
          </reference>
        </references>
      </pivotArea>
    </chartFormat>
    <chartFormat chart="14" format="34">
      <pivotArea type="data" outline="0" fieldPosition="0">
        <references count="2">
          <reference field="4294967294" count="1" selected="0">
            <x v="0"/>
          </reference>
          <reference field="1" count="1" selected="0">
            <x v="9"/>
          </reference>
        </references>
      </pivotArea>
    </chartFormat>
    <chartFormat chart="14" format="35" series="1">
      <pivotArea type="data" outline="0" fieldPosition="0">
        <references count="1">
          <reference field="4294967294" count="1" selected="0">
            <x v="1"/>
          </reference>
        </references>
      </pivotArea>
    </chartFormat>
    <chartFormat chart="14" format="36">
      <pivotArea type="data" outline="0" fieldPosition="0">
        <references count="2">
          <reference field="4294967294" count="1" selected="0">
            <x v="1"/>
          </reference>
          <reference field="1" count="1" selected="0">
            <x v="0"/>
          </reference>
        </references>
      </pivotArea>
    </chartFormat>
    <chartFormat chart="14" format="37">
      <pivotArea type="data" outline="0" fieldPosition="0">
        <references count="2">
          <reference field="4294967294" count="1" selected="0">
            <x v="1"/>
          </reference>
          <reference field="1" count="1" selected="0">
            <x v="1"/>
          </reference>
        </references>
      </pivotArea>
    </chartFormat>
    <chartFormat chart="14" format="38">
      <pivotArea type="data" outline="0" fieldPosition="0">
        <references count="2">
          <reference field="4294967294" count="1" selected="0">
            <x v="1"/>
          </reference>
          <reference field="1" count="1" selected="0">
            <x v="2"/>
          </reference>
        </references>
      </pivotArea>
    </chartFormat>
    <chartFormat chart="14" format="39">
      <pivotArea type="data" outline="0" fieldPosition="0">
        <references count="2">
          <reference field="4294967294" count="1" selected="0">
            <x v="1"/>
          </reference>
          <reference field="1" count="1" selected="0">
            <x v="3"/>
          </reference>
        </references>
      </pivotArea>
    </chartFormat>
    <chartFormat chart="14" format="40">
      <pivotArea type="data" outline="0" fieldPosition="0">
        <references count="2">
          <reference field="4294967294" count="1" selected="0">
            <x v="1"/>
          </reference>
          <reference field="1" count="1" selected="0">
            <x v="4"/>
          </reference>
        </references>
      </pivotArea>
    </chartFormat>
    <chartFormat chart="14" format="41">
      <pivotArea type="data" outline="0" fieldPosition="0">
        <references count="2">
          <reference field="4294967294" count="1" selected="0">
            <x v="1"/>
          </reference>
          <reference field="1" count="1" selected="0">
            <x v="5"/>
          </reference>
        </references>
      </pivotArea>
    </chartFormat>
    <chartFormat chart="14" format="42">
      <pivotArea type="data" outline="0" fieldPosition="0">
        <references count="2">
          <reference field="4294967294" count="1" selected="0">
            <x v="1"/>
          </reference>
          <reference field="1" count="1" selected="0">
            <x v="6"/>
          </reference>
        </references>
      </pivotArea>
    </chartFormat>
    <chartFormat chart="14" format="43">
      <pivotArea type="data" outline="0" fieldPosition="0">
        <references count="2">
          <reference field="4294967294" count="1" selected="0">
            <x v="1"/>
          </reference>
          <reference field="1" count="1" selected="0">
            <x v="7"/>
          </reference>
        </references>
      </pivotArea>
    </chartFormat>
    <chartFormat chart="23" format="68" series="1">
      <pivotArea type="data" outline="0" fieldPosition="0">
        <references count="1">
          <reference field="4294967294" count="1" selected="0">
            <x v="0"/>
          </reference>
        </references>
      </pivotArea>
    </chartFormat>
    <chartFormat chart="23" format="69">
      <pivotArea type="data" outline="0" fieldPosition="0">
        <references count="2">
          <reference field="4294967294" count="1" selected="0">
            <x v="0"/>
          </reference>
          <reference field="1" count="1" selected="0">
            <x v="0"/>
          </reference>
        </references>
      </pivotArea>
    </chartFormat>
    <chartFormat chart="23" format="70">
      <pivotArea type="data" outline="0" fieldPosition="0">
        <references count="2">
          <reference field="4294967294" count="1" selected="0">
            <x v="0"/>
          </reference>
          <reference field="1" count="1" selected="0">
            <x v="1"/>
          </reference>
        </references>
      </pivotArea>
    </chartFormat>
    <chartFormat chart="23" format="71">
      <pivotArea type="data" outline="0" fieldPosition="0">
        <references count="2">
          <reference field="4294967294" count="1" selected="0">
            <x v="0"/>
          </reference>
          <reference field="1" count="1" selected="0">
            <x v="2"/>
          </reference>
        </references>
      </pivotArea>
    </chartFormat>
    <chartFormat chart="23" format="72">
      <pivotArea type="data" outline="0" fieldPosition="0">
        <references count="2">
          <reference field="4294967294" count="1" selected="0">
            <x v="0"/>
          </reference>
          <reference field="1" count="1" selected="0">
            <x v="3"/>
          </reference>
        </references>
      </pivotArea>
    </chartFormat>
    <chartFormat chart="23" format="73">
      <pivotArea type="data" outline="0" fieldPosition="0">
        <references count="2">
          <reference field="4294967294" count="1" selected="0">
            <x v="0"/>
          </reference>
          <reference field="1" count="1" selected="0">
            <x v="4"/>
          </reference>
        </references>
      </pivotArea>
    </chartFormat>
    <chartFormat chart="23" format="74">
      <pivotArea type="data" outline="0" fieldPosition="0">
        <references count="2">
          <reference field="4294967294" count="1" selected="0">
            <x v="0"/>
          </reference>
          <reference field="1" count="1" selected="0">
            <x v="5"/>
          </reference>
        </references>
      </pivotArea>
    </chartFormat>
    <chartFormat chart="23" format="75">
      <pivotArea type="data" outline="0" fieldPosition="0">
        <references count="2">
          <reference field="4294967294" count="1" selected="0">
            <x v="0"/>
          </reference>
          <reference field="1" count="1" selected="0">
            <x v="6"/>
          </reference>
        </references>
      </pivotArea>
    </chartFormat>
    <chartFormat chart="23" format="76">
      <pivotArea type="data" outline="0" fieldPosition="0">
        <references count="2">
          <reference field="4294967294" count="1" selected="0">
            <x v="0"/>
          </reference>
          <reference field="1" count="1" selected="0">
            <x v="7"/>
          </reference>
        </references>
      </pivotArea>
    </chartFormat>
    <chartFormat chart="23" format="77">
      <pivotArea type="data" outline="0" fieldPosition="0">
        <references count="2">
          <reference field="4294967294" count="1" selected="0">
            <x v="0"/>
          </reference>
          <reference field="1" count="1" selected="0">
            <x v="8"/>
          </reference>
        </references>
      </pivotArea>
    </chartFormat>
    <chartFormat chart="23" format="78">
      <pivotArea type="data" outline="0" fieldPosition="0">
        <references count="2">
          <reference field="4294967294" count="1" selected="0">
            <x v="0"/>
          </reference>
          <reference field="1" count="1" selected="0">
            <x v="9"/>
          </reference>
        </references>
      </pivotArea>
    </chartFormat>
    <chartFormat chart="23" format="79" series="1">
      <pivotArea type="data" outline="0" fieldPosition="0">
        <references count="1">
          <reference field="4294967294" count="1" selected="0">
            <x v="1"/>
          </reference>
        </references>
      </pivotArea>
    </chartFormat>
    <chartFormat chart="23" format="80">
      <pivotArea type="data" outline="0" fieldPosition="0">
        <references count="2">
          <reference field="4294967294" count="1" selected="0">
            <x v="1"/>
          </reference>
          <reference field="1" count="1" selected="0">
            <x v="0"/>
          </reference>
        </references>
      </pivotArea>
    </chartFormat>
    <chartFormat chart="23" format="81">
      <pivotArea type="data" outline="0" fieldPosition="0">
        <references count="2">
          <reference field="4294967294" count="1" selected="0">
            <x v="1"/>
          </reference>
          <reference field="1" count="1" selected="0">
            <x v="1"/>
          </reference>
        </references>
      </pivotArea>
    </chartFormat>
    <chartFormat chart="23" format="82">
      <pivotArea type="data" outline="0" fieldPosition="0">
        <references count="2">
          <reference field="4294967294" count="1" selected="0">
            <x v="1"/>
          </reference>
          <reference field="1" count="1" selected="0">
            <x v="2"/>
          </reference>
        </references>
      </pivotArea>
    </chartFormat>
    <chartFormat chart="23" format="83">
      <pivotArea type="data" outline="0" fieldPosition="0">
        <references count="2">
          <reference field="4294967294" count="1" selected="0">
            <x v="1"/>
          </reference>
          <reference field="1" count="1" selected="0">
            <x v="3"/>
          </reference>
        </references>
      </pivotArea>
    </chartFormat>
    <chartFormat chart="23" format="84">
      <pivotArea type="data" outline="0" fieldPosition="0">
        <references count="2">
          <reference field="4294967294" count="1" selected="0">
            <x v="1"/>
          </reference>
          <reference field="1" count="1" selected="0">
            <x v="4"/>
          </reference>
        </references>
      </pivotArea>
    </chartFormat>
    <chartFormat chart="23" format="85">
      <pivotArea type="data" outline="0" fieldPosition="0">
        <references count="2">
          <reference field="4294967294" count="1" selected="0">
            <x v="1"/>
          </reference>
          <reference field="1" count="1" selected="0">
            <x v="5"/>
          </reference>
        </references>
      </pivotArea>
    </chartFormat>
    <chartFormat chart="23" format="86">
      <pivotArea type="data" outline="0" fieldPosition="0">
        <references count="2">
          <reference field="4294967294" count="1" selected="0">
            <x v="1"/>
          </reference>
          <reference field="1" count="1" selected="0">
            <x v="6"/>
          </reference>
        </references>
      </pivotArea>
    </chartFormat>
    <chartFormat chart="23" format="87">
      <pivotArea type="data" outline="0" fieldPosition="0">
        <references count="2">
          <reference field="4294967294" count="1" selected="0">
            <x v="1"/>
          </reference>
          <reference field="1" count="1" selected="0">
            <x v="7"/>
          </reference>
        </references>
      </pivotArea>
    </chartFormat>
    <chartFormat chart="23" format="88">
      <pivotArea type="data" outline="0" fieldPosition="0">
        <references count="2">
          <reference field="4294967294" count="1" selected="0">
            <x v="1"/>
          </reference>
          <reference field="1" count="1" selected="0">
            <x v="8"/>
          </reference>
        </references>
      </pivotArea>
    </chartFormat>
    <chartFormat chart="23" format="89">
      <pivotArea type="data" outline="0" fieldPosition="0">
        <references count="2">
          <reference field="4294967294" count="1" selected="0">
            <x v="1"/>
          </reference>
          <reference field="1" count="1" selected="0">
            <x v="9"/>
          </reference>
        </references>
      </pivotArea>
    </chartFormat>
    <chartFormat chart="14" format="46">
      <pivotArea type="data" outline="0" fieldPosition="0">
        <references count="2">
          <reference field="4294967294" count="1" selected="0">
            <x v="1"/>
          </reference>
          <reference field="1" count="1" selected="0">
            <x v="8"/>
          </reference>
        </references>
      </pivotArea>
    </chartFormat>
    <chartFormat chart="14" format="47">
      <pivotArea type="data" outline="0" fieldPosition="0">
        <references count="2">
          <reference field="4294967294" count="1" selected="0">
            <x v="1"/>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G3:H8" firstHeaderRow="1" firstDataRow="1" firstDataCol="1"/>
  <pivotFields count="6">
    <pivotField showAll="0">
      <items count="11">
        <item x="0"/>
        <item x="1"/>
        <item x="2"/>
        <item x="3"/>
        <item x="4"/>
        <item x="5"/>
        <item x="6"/>
        <item x="7"/>
        <item x="8"/>
        <item x="9"/>
        <item t="default"/>
      </items>
    </pivotField>
    <pivotField showAll="0">
      <items count="11">
        <item x="7"/>
        <item x="0"/>
        <item x="1"/>
        <item x="3"/>
        <item x="6"/>
        <item x="9"/>
        <item x="4"/>
        <item x="2"/>
        <item x="5"/>
        <item x="8"/>
        <item t="default"/>
      </items>
    </pivotField>
    <pivotField showAll="0">
      <items count="7">
        <item x="0"/>
        <item x="3"/>
        <item x="1"/>
        <item x="2"/>
        <item x="4"/>
        <item x="5"/>
        <item t="default"/>
      </items>
    </pivotField>
    <pivotField axis="axisRow" showAll="0">
      <items count="10">
        <item x="2"/>
        <item x="1"/>
        <item x="4"/>
        <item x="8"/>
        <item x="7"/>
        <item x="3"/>
        <item x="5"/>
        <item x="6"/>
        <item x="0"/>
        <item t="default"/>
      </items>
    </pivotField>
    <pivotField dataField="1" showAll="0">
      <items count="10">
        <item x="5"/>
        <item x="1"/>
        <item x="6"/>
        <item x="4"/>
        <item x="3"/>
        <item x="8"/>
        <item x="7"/>
        <item x="2"/>
        <item x="0"/>
        <item t="default"/>
      </items>
    </pivotField>
    <pivotField showAll="0">
      <items count="5">
        <item h="1" x="0"/>
        <item x="2"/>
        <item h="1" x="3"/>
        <item h="1" x="1"/>
        <item t="default"/>
      </items>
    </pivotField>
  </pivotFields>
  <rowFields count="1">
    <field x="3"/>
  </rowFields>
  <rowItems count="5">
    <i>
      <x v="2"/>
    </i>
    <i>
      <x v="4"/>
    </i>
    <i>
      <x v="6"/>
    </i>
    <i>
      <x v="7"/>
    </i>
    <i t="grand">
      <x/>
    </i>
  </rowItems>
  <colItems count="1">
    <i/>
  </colItems>
  <dataFields count="1">
    <dataField name="Sum of Rating" fld="4" baseField="0" baseItem="0"/>
  </dataFields>
  <chartFormats count="20">
    <chartFormat chart="20" format="11" series="1">
      <pivotArea type="data" outline="0" fieldPosition="0">
        <references count="1">
          <reference field="4294967294" count="1" selected="0">
            <x v="0"/>
          </reference>
        </references>
      </pivotArea>
    </chartFormat>
    <chartFormat chart="20" format="12">
      <pivotArea type="data" outline="0" fieldPosition="0">
        <references count="2">
          <reference field="4294967294" count="1" selected="0">
            <x v="0"/>
          </reference>
          <reference field="3" count="1" selected="0">
            <x v="0"/>
          </reference>
        </references>
      </pivotArea>
    </chartFormat>
    <chartFormat chart="20" format="13">
      <pivotArea type="data" outline="0" fieldPosition="0">
        <references count="2">
          <reference field="4294967294" count="1" selected="0">
            <x v="0"/>
          </reference>
          <reference field="3" count="1" selected="0">
            <x v="1"/>
          </reference>
        </references>
      </pivotArea>
    </chartFormat>
    <chartFormat chart="20" format="14">
      <pivotArea type="data" outline="0" fieldPosition="0">
        <references count="2">
          <reference field="4294967294" count="1" selected="0">
            <x v="0"/>
          </reference>
          <reference field="3" count="1" selected="0">
            <x v="2"/>
          </reference>
        </references>
      </pivotArea>
    </chartFormat>
    <chartFormat chart="20" format="15">
      <pivotArea type="data" outline="0" fieldPosition="0">
        <references count="2">
          <reference field="4294967294" count="1" selected="0">
            <x v="0"/>
          </reference>
          <reference field="3" count="1" selected="0">
            <x v="3"/>
          </reference>
        </references>
      </pivotArea>
    </chartFormat>
    <chartFormat chart="20" format="16">
      <pivotArea type="data" outline="0" fieldPosition="0">
        <references count="2">
          <reference field="4294967294" count="1" selected="0">
            <x v="0"/>
          </reference>
          <reference field="3" count="1" selected="0">
            <x v="4"/>
          </reference>
        </references>
      </pivotArea>
    </chartFormat>
    <chartFormat chart="20" format="17">
      <pivotArea type="data" outline="0" fieldPosition="0">
        <references count="2">
          <reference field="4294967294" count="1" selected="0">
            <x v="0"/>
          </reference>
          <reference field="3" count="1" selected="0">
            <x v="5"/>
          </reference>
        </references>
      </pivotArea>
    </chartFormat>
    <chartFormat chart="20" format="18">
      <pivotArea type="data" outline="0" fieldPosition="0">
        <references count="2">
          <reference field="4294967294" count="1" selected="0">
            <x v="0"/>
          </reference>
          <reference field="3" count="1" selected="0">
            <x v="6"/>
          </reference>
        </references>
      </pivotArea>
    </chartFormat>
    <chartFormat chart="20" format="19">
      <pivotArea type="data" outline="0" fieldPosition="0">
        <references count="2">
          <reference field="4294967294" count="1" selected="0">
            <x v="0"/>
          </reference>
          <reference field="3" count="1" selected="0">
            <x v="7"/>
          </reference>
        </references>
      </pivotArea>
    </chartFormat>
    <chartFormat chart="20" format="20">
      <pivotArea type="data" outline="0" fieldPosition="0">
        <references count="2">
          <reference field="4294967294" count="1" selected="0">
            <x v="0"/>
          </reference>
          <reference field="3" count="1" selected="0">
            <x v="8"/>
          </reference>
        </references>
      </pivotArea>
    </chartFormat>
    <chartFormat chart="29" format="31" series="1">
      <pivotArea type="data" outline="0" fieldPosition="0">
        <references count="1">
          <reference field="4294967294" count="1" selected="0">
            <x v="0"/>
          </reference>
        </references>
      </pivotArea>
    </chartFormat>
    <chartFormat chart="29" format="32">
      <pivotArea type="data" outline="0" fieldPosition="0">
        <references count="2">
          <reference field="4294967294" count="1" selected="0">
            <x v="0"/>
          </reference>
          <reference field="3" count="1" selected="0">
            <x v="0"/>
          </reference>
        </references>
      </pivotArea>
    </chartFormat>
    <chartFormat chart="29" format="33">
      <pivotArea type="data" outline="0" fieldPosition="0">
        <references count="2">
          <reference field="4294967294" count="1" selected="0">
            <x v="0"/>
          </reference>
          <reference field="3" count="1" selected="0">
            <x v="1"/>
          </reference>
        </references>
      </pivotArea>
    </chartFormat>
    <chartFormat chart="29" format="34">
      <pivotArea type="data" outline="0" fieldPosition="0">
        <references count="2">
          <reference field="4294967294" count="1" selected="0">
            <x v="0"/>
          </reference>
          <reference field="3" count="1" selected="0">
            <x v="2"/>
          </reference>
        </references>
      </pivotArea>
    </chartFormat>
    <chartFormat chart="29" format="35">
      <pivotArea type="data" outline="0" fieldPosition="0">
        <references count="2">
          <reference field="4294967294" count="1" selected="0">
            <x v="0"/>
          </reference>
          <reference field="3" count="1" selected="0">
            <x v="3"/>
          </reference>
        </references>
      </pivotArea>
    </chartFormat>
    <chartFormat chart="29" format="36">
      <pivotArea type="data" outline="0" fieldPosition="0">
        <references count="2">
          <reference field="4294967294" count="1" selected="0">
            <x v="0"/>
          </reference>
          <reference field="3" count="1" selected="0">
            <x v="4"/>
          </reference>
        </references>
      </pivotArea>
    </chartFormat>
    <chartFormat chart="29" format="37">
      <pivotArea type="data" outline="0" fieldPosition="0">
        <references count="2">
          <reference field="4294967294" count="1" selected="0">
            <x v="0"/>
          </reference>
          <reference field="3" count="1" selected="0">
            <x v="5"/>
          </reference>
        </references>
      </pivotArea>
    </chartFormat>
    <chartFormat chart="29" format="38">
      <pivotArea type="data" outline="0" fieldPosition="0">
        <references count="2">
          <reference field="4294967294" count="1" selected="0">
            <x v="0"/>
          </reference>
          <reference field="3" count="1" selected="0">
            <x v="6"/>
          </reference>
        </references>
      </pivotArea>
    </chartFormat>
    <chartFormat chart="29" format="39">
      <pivotArea type="data" outline="0" fieldPosition="0">
        <references count="2">
          <reference field="4294967294" count="1" selected="0">
            <x v="0"/>
          </reference>
          <reference field="3" count="1" selected="0">
            <x v="7"/>
          </reference>
        </references>
      </pivotArea>
    </chartFormat>
    <chartFormat chart="29" format="4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D17:E19" firstHeaderRow="1" firstDataRow="1" firstDataCol="1"/>
  <pivotFields count="6">
    <pivotField showAll="0">
      <items count="11">
        <item x="0"/>
        <item x="1"/>
        <item x="2"/>
        <item x="3"/>
        <item x="4"/>
        <item x="5"/>
        <item x="6"/>
        <item x="7"/>
        <item x="8"/>
        <item x="9"/>
        <item t="default"/>
      </items>
    </pivotField>
    <pivotField showAll="0">
      <items count="11">
        <item x="7"/>
        <item x="0"/>
        <item x="1"/>
        <item x="3"/>
        <item x="6"/>
        <item x="9"/>
        <item x="4"/>
        <item x="2"/>
        <item x="5"/>
        <item x="8"/>
        <item t="default"/>
      </items>
    </pivotField>
    <pivotField showAll="0">
      <items count="7">
        <item x="0"/>
        <item x="3"/>
        <item x="1"/>
        <item x="2"/>
        <item x="4"/>
        <item x="5"/>
        <item t="default"/>
      </items>
    </pivotField>
    <pivotField showAll="0">
      <items count="10">
        <item x="2"/>
        <item x="1"/>
        <item x="4"/>
        <item x="8"/>
        <item x="7"/>
        <item x="3"/>
        <item x="5"/>
        <item x="6"/>
        <item x="0"/>
        <item t="default"/>
      </items>
    </pivotField>
    <pivotField dataField="1" showAll="0">
      <items count="10">
        <item x="5"/>
        <item x="1"/>
        <item x="6"/>
        <item x="4"/>
        <item x="3"/>
        <item x="8"/>
        <item x="7"/>
        <item x="2"/>
        <item x="0"/>
        <item t="default"/>
      </items>
    </pivotField>
    <pivotField axis="axisRow" showAll="0">
      <items count="5">
        <item h="1" x="0"/>
        <item x="2"/>
        <item h="1" x="3"/>
        <item h="1" x="1"/>
        <item t="default"/>
      </items>
    </pivotField>
  </pivotFields>
  <rowFields count="1">
    <field x="5"/>
  </rowFields>
  <rowItems count="2">
    <i>
      <x v="1"/>
    </i>
    <i t="grand">
      <x/>
    </i>
  </rowItems>
  <colItems count="1">
    <i/>
  </colItems>
  <dataFields count="1">
    <dataField name="Sum of Rating" fld="4" baseField="0" baseItem="0"/>
  </dataFields>
  <chartFormats count="10">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0"/>
          </reference>
        </references>
      </pivotArea>
    </chartFormat>
    <chartFormat chart="14" format="8">
      <pivotArea type="data" outline="0" fieldPosition="0">
        <references count="2">
          <reference field="4294967294" count="1" selected="0">
            <x v="0"/>
          </reference>
          <reference field="5" count="1" selected="0">
            <x v="1"/>
          </reference>
        </references>
      </pivotArea>
    </chartFormat>
    <chartFormat chart="14" format="9">
      <pivotArea type="data" outline="0" fieldPosition="0">
        <references count="2">
          <reference field="4294967294" count="1" selected="0">
            <x v="0"/>
          </reference>
          <reference field="5" count="1" selected="0">
            <x v="2"/>
          </reference>
        </references>
      </pivotArea>
    </chartFormat>
    <chartFormat chart="14" format="10">
      <pivotArea type="data" outline="0" fieldPosition="0">
        <references count="2">
          <reference field="4294967294" count="1" selected="0">
            <x v="0"/>
          </reference>
          <reference field="5" count="1" selected="0">
            <x v="3"/>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5" count="1" selected="0">
            <x v="0"/>
          </reference>
        </references>
      </pivotArea>
    </chartFormat>
    <chartFormat chart="23" format="18">
      <pivotArea type="data" outline="0" fieldPosition="0">
        <references count="2">
          <reference field="4294967294" count="1" selected="0">
            <x v="0"/>
          </reference>
          <reference field="5" count="1" selected="0">
            <x v="1"/>
          </reference>
        </references>
      </pivotArea>
    </chartFormat>
    <chartFormat chart="23" format="19">
      <pivotArea type="data" outline="0" fieldPosition="0">
        <references count="2">
          <reference field="4294967294" count="1" selected="0">
            <x v="0"/>
          </reference>
          <reference field="5" count="1" selected="0">
            <x v="2"/>
          </reference>
        </references>
      </pivotArea>
    </chartFormat>
    <chartFormat chart="23"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C4" firstHeaderRow="0" firstDataRow="1" firstDataCol="1"/>
  <pivotFields count="8">
    <pivotField showAll="0">
      <items count="11">
        <item x="0"/>
        <item x="1"/>
        <item x="2"/>
        <item x="3"/>
        <item x="4"/>
        <item x="5"/>
        <item x="6"/>
        <item x="7"/>
        <item x="8"/>
        <item x="9"/>
        <item t="default"/>
      </items>
    </pivotField>
    <pivotField axis="axisRow" showAll="0">
      <items count="11">
        <item h="1" x="3"/>
        <item h="1" x="2"/>
        <item h="1" x="8"/>
        <item h="1" x="9"/>
        <item h="1" x="1"/>
        <item h="1" x="6"/>
        <item x="4"/>
        <item h="1" x="5"/>
        <item h="1" x="7"/>
        <item h="1" x="0"/>
        <item t="default"/>
      </items>
    </pivotField>
    <pivotField showAll="0">
      <items count="8">
        <item h="1" x="1"/>
        <item h="1" x="2"/>
        <item h="1" x="3"/>
        <item x="0"/>
        <item h="1" x="5"/>
        <item h="1" x="6"/>
        <item h="1" x="4"/>
        <item t="default"/>
      </items>
    </pivotField>
    <pivotField showAll="0"/>
    <pivotField dataField="1" showAll="0">
      <items count="8">
        <item x="6"/>
        <item x="3"/>
        <item x="4"/>
        <item x="1"/>
        <item x="5"/>
        <item x="2"/>
        <item x="0"/>
        <item t="default"/>
      </items>
    </pivotField>
    <pivotField dataField="1" showAll="0">
      <items count="6">
        <item x="4"/>
        <item x="3"/>
        <item x="1"/>
        <item x="0"/>
        <item x="2"/>
        <item t="default"/>
      </items>
    </pivotField>
    <pivotField showAll="0">
      <items count="4">
        <item x="0"/>
        <item x="1"/>
        <item x="2"/>
        <item t="default"/>
      </items>
    </pivotField>
    <pivotField showAll="0">
      <items count="9">
        <item x="4"/>
        <item x="7"/>
        <item x="3"/>
        <item x="5"/>
        <item x="1"/>
        <item x="0"/>
        <item x="2"/>
        <item x="6"/>
        <item t="default"/>
      </items>
    </pivotField>
  </pivotFields>
  <rowFields count="1">
    <field x="1"/>
  </rowFields>
  <rowItems count="2">
    <i>
      <x v="6"/>
    </i>
    <i t="grand">
      <x/>
    </i>
  </rowItems>
  <colFields count="1">
    <field x="-2"/>
  </colFields>
  <colItems count="2">
    <i>
      <x/>
    </i>
    <i i="1">
      <x v="1"/>
    </i>
  </colItems>
  <dataFields count="2">
    <dataField name="Sum of Screens" fld="5" baseField="0" baseItem="0"/>
    <dataField name="Sum of Capacity" fld="4" baseField="0" baseItem="0"/>
  </dataFields>
  <chartFormats count="4">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E2:G4" firstHeaderRow="0" firstDataRow="1" firstDataCol="1"/>
  <pivotFields count="8">
    <pivotField showAll="0">
      <items count="11">
        <item x="0"/>
        <item x="1"/>
        <item x="2"/>
        <item x="3"/>
        <item x="4"/>
        <item x="5"/>
        <item x="6"/>
        <item x="7"/>
        <item x="8"/>
        <item x="9"/>
        <item t="default"/>
      </items>
    </pivotField>
    <pivotField showAll="0">
      <items count="11">
        <item h="1" x="3"/>
        <item h="1" x="2"/>
        <item h="1" x="8"/>
        <item h="1" x="9"/>
        <item h="1" x="1"/>
        <item h="1" x="6"/>
        <item x="4"/>
        <item h="1" x="5"/>
        <item h="1" x="7"/>
        <item h="1" x="0"/>
        <item t="default"/>
      </items>
    </pivotField>
    <pivotField axis="axisRow" showAll="0">
      <items count="8">
        <item h="1" x="1"/>
        <item h="1" x="2"/>
        <item h="1" x="3"/>
        <item x="0"/>
        <item h="1" x="5"/>
        <item h="1" x="6"/>
        <item h="1" x="4"/>
        <item t="default"/>
      </items>
    </pivotField>
    <pivotField showAll="0"/>
    <pivotField showAll="0">
      <items count="8">
        <item x="6"/>
        <item x="3"/>
        <item x="4"/>
        <item x="1"/>
        <item x="5"/>
        <item x="2"/>
        <item x="0"/>
        <item t="default"/>
      </items>
    </pivotField>
    <pivotField showAll="0">
      <items count="6">
        <item x="4"/>
        <item x="3"/>
        <item x="1"/>
        <item x="0"/>
        <item x="2"/>
        <item t="default"/>
      </items>
    </pivotField>
    <pivotField dataField="1" showAll="0">
      <items count="4">
        <item x="0"/>
        <item x="1"/>
        <item x="2"/>
        <item t="default"/>
      </items>
    </pivotField>
    <pivotField dataField="1" showAll="0">
      <items count="9">
        <item x="4"/>
        <item x="7"/>
        <item x="3"/>
        <item x="5"/>
        <item x="1"/>
        <item x="0"/>
        <item x="2"/>
        <item x="6"/>
        <item t="default"/>
      </items>
    </pivotField>
  </pivotFields>
  <rowFields count="1">
    <field x="2"/>
  </rowFields>
  <rowItems count="2">
    <i>
      <x v="3"/>
    </i>
    <i t="grand">
      <x/>
    </i>
  </rowItems>
  <colFields count="1">
    <field x="-2"/>
  </colFields>
  <colItems count="2">
    <i>
      <x/>
    </i>
    <i i="1">
      <x v="1"/>
    </i>
  </colItems>
  <dataFields count="2">
    <dataField name="Count of Type" fld="6" subtotal="count" baseField="0" baseItem="0"/>
    <dataField name="Sum of Rating" fld="7" baseField="0" baseItem="0"/>
  </dataFields>
  <chartFormats count="5">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8:H19" firstHeaderRow="1" firstDataRow="1" firstDataCol="1"/>
  <pivotFields count="6">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20" showAll="0">
      <items count="7">
        <item x="3"/>
        <item x="5"/>
        <item x="2"/>
        <item x="0"/>
        <item x="4"/>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1">
    <i>
      <x/>
    </i>
    <i>
      <x v="1"/>
    </i>
    <i>
      <x v="2"/>
    </i>
    <i>
      <x v="3"/>
    </i>
    <i>
      <x v="4"/>
    </i>
    <i>
      <x v="5"/>
    </i>
    <i>
      <x v="6"/>
    </i>
    <i>
      <x v="7"/>
    </i>
    <i>
      <x v="8"/>
    </i>
    <i>
      <x v="9"/>
    </i>
    <i t="grand">
      <x/>
    </i>
  </rowItems>
  <colItems count="1">
    <i/>
  </colItems>
  <dataFields count="1">
    <dataField name="Count of Show_Time" fld="4" subtotal="count" baseField="0" baseItem="0"/>
  </dataFields>
  <chartFormats count="2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4" format="8">
      <pivotArea type="data" outline="0" fieldPosition="0">
        <references count="2">
          <reference field="4294967294" count="1" selected="0">
            <x v="0"/>
          </reference>
          <reference field="2" count="1" selected="0">
            <x v="3"/>
          </reference>
        </references>
      </pivotArea>
    </chartFormat>
    <chartFormat chart="4" format="9">
      <pivotArea type="data" outline="0" fieldPosition="0">
        <references count="2">
          <reference field="4294967294" count="1" selected="0">
            <x v="0"/>
          </reference>
          <reference field="2" count="1" selected="0">
            <x v="4"/>
          </reference>
        </references>
      </pivotArea>
    </chartFormat>
    <chartFormat chart="4" format="10">
      <pivotArea type="data" outline="0" fieldPosition="0">
        <references count="2">
          <reference field="4294967294" count="1" selected="0">
            <x v="0"/>
          </reference>
          <reference field="2" count="1" selected="0">
            <x v="5"/>
          </reference>
        </references>
      </pivotArea>
    </chartFormat>
    <chartFormat chart="4" format="11">
      <pivotArea type="data" outline="0" fieldPosition="0">
        <references count="2">
          <reference field="4294967294" count="1" selected="0">
            <x v="0"/>
          </reference>
          <reference field="2" count="1" selected="0">
            <x v="6"/>
          </reference>
        </references>
      </pivotArea>
    </chartFormat>
    <chartFormat chart="4" format="12">
      <pivotArea type="data" outline="0" fieldPosition="0">
        <references count="2">
          <reference field="4294967294" count="1" selected="0">
            <x v="0"/>
          </reference>
          <reference field="2" count="1" selected="0">
            <x v="7"/>
          </reference>
        </references>
      </pivotArea>
    </chartFormat>
    <chartFormat chart="4" format="13">
      <pivotArea type="data" outline="0" fieldPosition="0">
        <references count="2">
          <reference field="4294967294" count="1" selected="0">
            <x v="0"/>
          </reference>
          <reference field="2" count="1" selected="0">
            <x v="8"/>
          </reference>
        </references>
      </pivotArea>
    </chartFormat>
    <chartFormat chart="4" format="14">
      <pivotArea type="data" outline="0" fieldPosition="0">
        <references count="2">
          <reference field="4294967294" count="1" selected="0">
            <x v="0"/>
          </reference>
          <reference field="2" count="1" selected="0">
            <x v="9"/>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2" count="1" selected="0">
            <x v="0"/>
          </reference>
        </references>
      </pivotArea>
    </chartFormat>
    <chartFormat chart="7" format="28">
      <pivotArea type="data" outline="0" fieldPosition="0">
        <references count="2">
          <reference field="4294967294" count="1" selected="0">
            <x v="0"/>
          </reference>
          <reference field="2" count="1" selected="0">
            <x v="1"/>
          </reference>
        </references>
      </pivotArea>
    </chartFormat>
    <chartFormat chart="7" format="29">
      <pivotArea type="data" outline="0" fieldPosition="0">
        <references count="2">
          <reference field="4294967294" count="1" selected="0">
            <x v="0"/>
          </reference>
          <reference field="2" count="1" selected="0">
            <x v="2"/>
          </reference>
        </references>
      </pivotArea>
    </chartFormat>
    <chartFormat chart="7" format="30">
      <pivotArea type="data" outline="0" fieldPosition="0">
        <references count="2">
          <reference field="4294967294" count="1" selected="0">
            <x v="0"/>
          </reference>
          <reference field="2" count="1" selected="0">
            <x v="3"/>
          </reference>
        </references>
      </pivotArea>
    </chartFormat>
    <chartFormat chart="7" format="31">
      <pivotArea type="data" outline="0" fieldPosition="0">
        <references count="2">
          <reference field="4294967294" count="1" selected="0">
            <x v="0"/>
          </reference>
          <reference field="2" count="1" selected="0">
            <x v="4"/>
          </reference>
        </references>
      </pivotArea>
    </chartFormat>
    <chartFormat chart="7" format="32">
      <pivotArea type="data" outline="0" fieldPosition="0">
        <references count="2">
          <reference field="4294967294" count="1" selected="0">
            <x v="0"/>
          </reference>
          <reference field="2" count="1" selected="0">
            <x v="5"/>
          </reference>
        </references>
      </pivotArea>
    </chartFormat>
    <chartFormat chart="7" format="33">
      <pivotArea type="data" outline="0" fieldPosition="0">
        <references count="2">
          <reference field="4294967294" count="1" selected="0">
            <x v="0"/>
          </reference>
          <reference field="2" count="1" selected="0">
            <x v="6"/>
          </reference>
        </references>
      </pivotArea>
    </chartFormat>
    <chartFormat chart="7" format="34">
      <pivotArea type="data" outline="0" fieldPosition="0">
        <references count="2">
          <reference field="4294967294" count="1" selected="0">
            <x v="0"/>
          </reference>
          <reference field="2" count="1" selected="0">
            <x v="7"/>
          </reference>
        </references>
      </pivotArea>
    </chartFormat>
    <chartFormat chart="7" format="35">
      <pivotArea type="data" outline="0" fieldPosition="0">
        <references count="2">
          <reference field="4294967294" count="1" selected="0">
            <x v="0"/>
          </reference>
          <reference field="2" count="1" selected="0">
            <x v="8"/>
          </reference>
        </references>
      </pivotArea>
    </chartFormat>
    <chartFormat chart="7" format="36">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3:E14" firstHeaderRow="1" firstDataRow="1" firstDataCol="1"/>
  <pivotFields count="6">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20" showAll="0">
      <items count="7">
        <item x="3"/>
        <item x="5"/>
        <item x="2"/>
        <item x="0"/>
        <item x="4"/>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dataFields count="1">
    <dataField name="Count of Show_Time" fld="4" subtotal="count" baseField="0" baseItem="0"/>
  </dataFields>
  <chartFormats count="2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 chart="4" format="9">
      <pivotArea type="data" outline="0" fieldPosition="0">
        <references count="2">
          <reference field="4294967294" count="1" selected="0">
            <x v="0"/>
          </reference>
          <reference field="1" count="1" selected="0">
            <x v="4"/>
          </reference>
        </references>
      </pivotArea>
    </chartFormat>
    <chartFormat chart="4" format="10">
      <pivotArea type="data" outline="0" fieldPosition="0">
        <references count="2">
          <reference field="4294967294" count="1" selected="0">
            <x v="0"/>
          </reference>
          <reference field="1" count="1" selected="0">
            <x v="5"/>
          </reference>
        </references>
      </pivotArea>
    </chartFormat>
    <chartFormat chart="4" format="11">
      <pivotArea type="data" outline="0" fieldPosition="0">
        <references count="2">
          <reference field="4294967294" count="1" selected="0">
            <x v="0"/>
          </reference>
          <reference field="1" count="1" selected="0">
            <x v="6"/>
          </reference>
        </references>
      </pivotArea>
    </chartFormat>
    <chartFormat chart="4" format="12">
      <pivotArea type="data" outline="0" fieldPosition="0">
        <references count="2">
          <reference field="4294967294" count="1" selected="0">
            <x v="0"/>
          </reference>
          <reference field="1" count="1" selected="0">
            <x v="7"/>
          </reference>
        </references>
      </pivotArea>
    </chartFormat>
    <chartFormat chart="4" format="13">
      <pivotArea type="data" outline="0" fieldPosition="0">
        <references count="2">
          <reference field="4294967294" count="1" selected="0">
            <x v="0"/>
          </reference>
          <reference field="1" count="1" selected="0">
            <x v="8"/>
          </reference>
        </references>
      </pivotArea>
    </chartFormat>
    <chartFormat chart="4" format="14">
      <pivotArea type="data" outline="0" fieldPosition="0">
        <references count="2">
          <reference field="4294967294" count="1" selected="0">
            <x v="0"/>
          </reference>
          <reference field="1" count="1" selected="0">
            <x v="9"/>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 count="1" selected="0">
            <x v="0"/>
          </reference>
        </references>
      </pivotArea>
    </chartFormat>
    <chartFormat chart="7" format="28">
      <pivotArea type="data" outline="0" fieldPosition="0">
        <references count="2">
          <reference field="4294967294" count="1" selected="0">
            <x v="0"/>
          </reference>
          <reference field="1" count="1" selected="0">
            <x v="1"/>
          </reference>
        </references>
      </pivotArea>
    </chartFormat>
    <chartFormat chart="7" format="29">
      <pivotArea type="data" outline="0" fieldPosition="0">
        <references count="2">
          <reference field="4294967294" count="1" selected="0">
            <x v="0"/>
          </reference>
          <reference field="1" count="1" selected="0">
            <x v="2"/>
          </reference>
        </references>
      </pivotArea>
    </chartFormat>
    <chartFormat chart="7" format="30">
      <pivotArea type="data" outline="0" fieldPosition="0">
        <references count="2">
          <reference field="4294967294" count="1" selected="0">
            <x v="0"/>
          </reference>
          <reference field="1" count="1" selected="0">
            <x v="3"/>
          </reference>
        </references>
      </pivotArea>
    </chartFormat>
    <chartFormat chart="7" format="31">
      <pivotArea type="data" outline="0" fieldPosition="0">
        <references count="2">
          <reference field="4294967294" count="1" selected="0">
            <x v="0"/>
          </reference>
          <reference field="1" count="1" selected="0">
            <x v="4"/>
          </reference>
        </references>
      </pivotArea>
    </chartFormat>
    <chartFormat chart="7" format="32">
      <pivotArea type="data" outline="0" fieldPosition="0">
        <references count="2">
          <reference field="4294967294" count="1" selected="0">
            <x v="0"/>
          </reference>
          <reference field="1" count="1" selected="0">
            <x v="5"/>
          </reference>
        </references>
      </pivotArea>
    </chartFormat>
    <chartFormat chart="7" format="33">
      <pivotArea type="data" outline="0" fieldPosition="0">
        <references count="2">
          <reference field="4294967294" count="1" selected="0">
            <x v="0"/>
          </reference>
          <reference field="1" count="1" selected="0">
            <x v="6"/>
          </reference>
        </references>
      </pivotArea>
    </chartFormat>
    <chartFormat chart="7" format="34">
      <pivotArea type="data" outline="0" fieldPosition="0">
        <references count="2">
          <reference field="4294967294" count="1" selected="0">
            <x v="0"/>
          </reference>
          <reference field="1" count="1" selected="0">
            <x v="7"/>
          </reference>
        </references>
      </pivotArea>
    </chartFormat>
    <chartFormat chart="7" format="35">
      <pivotArea type="data" outline="0" fieldPosition="0">
        <references count="2">
          <reference field="4294967294" count="1" selected="0">
            <x v="0"/>
          </reference>
          <reference field="1" count="1" selected="0">
            <x v="8"/>
          </reference>
        </references>
      </pivotArea>
    </chartFormat>
    <chartFormat chart="7" format="36">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B14" firstHeaderRow="1" firstDataRow="1" firstDataCol="1"/>
  <pivotFields count="6">
    <pivotField axis="axisRow"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20" showAll="0">
      <items count="7">
        <item x="3"/>
        <item x="5"/>
        <item x="2"/>
        <item x="0"/>
        <item x="4"/>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1">
    <i>
      <x/>
    </i>
    <i>
      <x v="1"/>
    </i>
    <i>
      <x v="2"/>
    </i>
    <i>
      <x v="3"/>
    </i>
    <i>
      <x v="4"/>
    </i>
    <i>
      <x v="5"/>
    </i>
    <i>
      <x v="6"/>
    </i>
    <i>
      <x v="7"/>
    </i>
    <i>
      <x v="8"/>
    </i>
    <i>
      <x v="9"/>
    </i>
    <i t="grand">
      <x/>
    </i>
  </rowItems>
  <colItems count="1">
    <i/>
  </colItems>
  <dataFields count="1">
    <dataField name="Count of Show_Time" fld="4" subtotal="count" baseField="0" baseItem="0"/>
  </dataFields>
  <chartFormats count="22">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 chart="18" format="7">
      <pivotArea type="data" outline="0" fieldPosition="0">
        <references count="2">
          <reference field="4294967294" count="1" selected="0">
            <x v="0"/>
          </reference>
          <reference field="0" count="1" selected="0">
            <x v="2"/>
          </reference>
        </references>
      </pivotArea>
    </chartFormat>
    <chartFormat chart="18" format="8">
      <pivotArea type="data" outline="0" fieldPosition="0">
        <references count="2">
          <reference field="4294967294" count="1" selected="0">
            <x v="0"/>
          </reference>
          <reference field="0" count="1" selected="0">
            <x v="3"/>
          </reference>
        </references>
      </pivotArea>
    </chartFormat>
    <chartFormat chart="18" format="9">
      <pivotArea type="data" outline="0" fieldPosition="0">
        <references count="2">
          <reference field="4294967294" count="1" selected="0">
            <x v="0"/>
          </reference>
          <reference field="0" count="1" selected="0">
            <x v="4"/>
          </reference>
        </references>
      </pivotArea>
    </chartFormat>
    <chartFormat chart="18" format="10">
      <pivotArea type="data" outline="0" fieldPosition="0">
        <references count="2">
          <reference field="4294967294" count="1" selected="0">
            <x v="0"/>
          </reference>
          <reference field="0" count="1" selected="0">
            <x v="5"/>
          </reference>
        </references>
      </pivotArea>
    </chartFormat>
    <chartFormat chart="18" format="11">
      <pivotArea type="data" outline="0" fieldPosition="0">
        <references count="2">
          <reference field="4294967294" count="1" selected="0">
            <x v="0"/>
          </reference>
          <reference field="0" count="1" selected="0">
            <x v="6"/>
          </reference>
        </references>
      </pivotArea>
    </chartFormat>
    <chartFormat chart="18" format="12">
      <pivotArea type="data" outline="0" fieldPosition="0">
        <references count="2">
          <reference field="4294967294" count="1" selected="0">
            <x v="0"/>
          </reference>
          <reference field="0" count="1" selected="0">
            <x v="7"/>
          </reference>
        </references>
      </pivotArea>
    </chartFormat>
    <chartFormat chart="18" format="13">
      <pivotArea type="data" outline="0" fieldPosition="0">
        <references count="2">
          <reference field="4294967294" count="1" selected="0">
            <x v="0"/>
          </reference>
          <reference field="0" count="1" selected="0">
            <x v="8"/>
          </reference>
        </references>
      </pivotArea>
    </chartFormat>
    <chartFormat chart="18" format="14">
      <pivotArea type="data" outline="0" fieldPosition="0">
        <references count="2">
          <reference field="4294967294" count="1" selected="0">
            <x v="0"/>
          </reference>
          <reference field="0" count="1" selected="0">
            <x v="9"/>
          </reference>
        </references>
      </pivotArea>
    </chartFormat>
    <chartFormat chart="21" format="26" series="1">
      <pivotArea type="data" outline="0" fieldPosition="0">
        <references count="1">
          <reference field="4294967294" count="1" selected="0">
            <x v="0"/>
          </reference>
        </references>
      </pivotArea>
    </chartFormat>
    <chartFormat chart="21" format="27">
      <pivotArea type="data" outline="0" fieldPosition="0">
        <references count="2">
          <reference field="4294967294" count="1" selected="0">
            <x v="0"/>
          </reference>
          <reference field="0" count="1" selected="0">
            <x v="0"/>
          </reference>
        </references>
      </pivotArea>
    </chartFormat>
    <chartFormat chart="21" format="28">
      <pivotArea type="data" outline="0" fieldPosition="0">
        <references count="2">
          <reference field="4294967294" count="1" selected="0">
            <x v="0"/>
          </reference>
          <reference field="0" count="1" selected="0">
            <x v="1"/>
          </reference>
        </references>
      </pivotArea>
    </chartFormat>
    <chartFormat chart="21" format="29">
      <pivotArea type="data" outline="0" fieldPosition="0">
        <references count="2">
          <reference field="4294967294" count="1" selected="0">
            <x v="0"/>
          </reference>
          <reference field="0" count="1" selected="0">
            <x v="2"/>
          </reference>
        </references>
      </pivotArea>
    </chartFormat>
    <chartFormat chart="21" format="30">
      <pivotArea type="data" outline="0" fieldPosition="0">
        <references count="2">
          <reference field="4294967294" count="1" selected="0">
            <x v="0"/>
          </reference>
          <reference field="0" count="1" selected="0">
            <x v="3"/>
          </reference>
        </references>
      </pivotArea>
    </chartFormat>
    <chartFormat chart="21" format="31">
      <pivotArea type="data" outline="0" fieldPosition="0">
        <references count="2">
          <reference field="4294967294" count="1" selected="0">
            <x v="0"/>
          </reference>
          <reference field="0" count="1" selected="0">
            <x v="4"/>
          </reference>
        </references>
      </pivotArea>
    </chartFormat>
    <chartFormat chart="21" format="32">
      <pivotArea type="data" outline="0" fieldPosition="0">
        <references count="2">
          <reference field="4294967294" count="1" selected="0">
            <x v="0"/>
          </reference>
          <reference field="0" count="1" selected="0">
            <x v="5"/>
          </reference>
        </references>
      </pivotArea>
    </chartFormat>
    <chartFormat chart="21" format="33">
      <pivotArea type="data" outline="0" fieldPosition="0">
        <references count="2">
          <reference field="4294967294" count="1" selected="0">
            <x v="0"/>
          </reference>
          <reference field="0" count="1" selected="0">
            <x v="6"/>
          </reference>
        </references>
      </pivotArea>
    </chartFormat>
    <chartFormat chart="21" format="34">
      <pivotArea type="data" outline="0" fieldPosition="0">
        <references count="2">
          <reference field="4294967294" count="1" selected="0">
            <x v="0"/>
          </reference>
          <reference field="0" count="1" selected="0">
            <x v="7"/>
          </reference>
        </references>
      </pivotArea>
    </chartFormat>
    <chartFormat chart="21" format="35">
      <pivotArea type="data" outline="0" fieldPosition="0">
        <references count="2">
          <reference field="4294967294" count="1" selected="0">
            <x v="0"/>
          </reference>
          <reference field="0" count="1" selected="0">
            <x v="8"/>
          </reference>
        </references>
      </pivotArea>
    </chartFormat>
    <chartFormat chart="21" format="36">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G3:H6" firstHeaderRow="1" firstDataRow="1" firstDataCol="1"/>
  <pivotFields count="6">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20" showAll="0">
      <items count="7">
        <item x="3"/>
        <item x="5"/>
        <item x="2"/>
        <item x="0"/>
        <item x="4"/>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3"/>
  </rowFields>
  <rowItems count="3">
    <i>
      <x v="10"/>
    </i>
    <i>
      <x v="11"/>
    </i>
    <i t="grand">
      <x/>
    </i>
  </rowItems>
  <colItems count="1">
    <i/>
  </colItems>
  <dataFields count="1">
    <dataField name="Count of Show_Time" fld="4" subtotal="count" baseField="0" baseItem="0"/>
  </dataFields>
  <chartFormats count="9">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10"/>
          </reference>
        </references>
      </pivotArea>
    </chartFormat>
    <chartFormat chart="7" format="8">
      <pivotArea type="data" outline="0" fieldPosition="0">
        <references count="2">
          <reference field="4294967294" count="1" selected="0">
            <x v="0"/>
          </reference>
          <reference field="5" count="1" selected="0">
            <x v="1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5" count="1" selected="0">
            <x v="10"/>
          </reference>
        </references>
      </pivotArea>
    </chartFormat>
    <chartFormat chart="10" format="14">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L3:M14" firstHeaderRow="1" firstDataRow="1" firstDataCol="1"/>
  <pivotFields count="7">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items count="11">
        <item x="4"/>
        <item x="6"/>
        <item x="1"/>
        <item x="9"/>
        <item x="5"/>
        <item x="3"/>
        <item x="0"/>
        <item x="7"/>
        <item x="2"/>
        <item x="8"/>
        <item t="default"/>
      </items>
    </pivotField>
    <pivotField dataField="1" showAll="0">
      <items count="7">
        <item x="4"/>
        <item x="1"/>
        <item x="0"/>
        <item x="3"/>
        <item x="2"/>
        <item x="5"/>
        <item t="default"/>
      </items>
    </pivotField>
    <pivotField showAll="0">
      <items count="6">
        <item x="4"/>
        <item x="1"/>
        <item x="2"/>
        <item x="0"/>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dataFields count="1">
    <dataField name="Sum of Tickets_Booked" fld="3"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I3:J14" firstHeaderRow="1" firstDataRow="1" firstDataCol="1"/>
  <pivotFields count="7">
    <pivotField axis="axisRow"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showAll="0">
      <items count="11">
        <item x="4"/>
        <item x="6"/>
        <item x="1"/>
        <item x="9"/>
        <item x="5"/>
        <item x="3"/>
        <item x="0"/>
        <item x="7"/>
        <item x="2"/>
        <item x="8"/>
        <item t="default"/>
      </items>
    </pivotField>
    <pivotField dataField="1" showAll="0">
      <items count="7">
        <item x="4"/>
        <item x="1"/>
        <item x="0"/>
        <item x="3"/>
        <item x="2"/>
        <item x="5"/>
        <item t="default"/>
      </items>
    </pivotField>
    <pivotField showAll="0">
      <items count="6">
        <item x="4"/>
        <item x="1"/>
        <item x="2"/>
        <item x="0"/>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1">
    <i>
      <x/>
    </i>
    <i>
      <x v="1"/>
    </i>
    <i>
      <x v="2"/>
    </i>
    <i>
      <x v="3"/>
    </i>
    <i>
      <x v="4"/>
    </i>
    <i>
      <x v="5"/>
    </i>
    <i>
      <x v="6"/>
    </i>
    <i>
      <x v="7"/>
    </i>
    <i>
      <x v="8"/>
    </i>
    <i>
      <x v="9"/>
    </i>
    <i t="grand">
      <x/>
    </i>
  </rowItems>
  <colItems count="1">
    <i/>
  </colItems>
  <dataFields count="1">
    <dataField name="Sum of Tickets_Booked" fld="3"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3:G14" firstHeaderRow="0" firstDataRow="1" firstDataCol="1"/>
  <pivotFields count="7">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showAll="0">
      <items count="11">
        <item x="4"/>
        <item x="6"/>
        <item x="1"/>
        <item x="9"/>
        <item x="5"/>
        <item x="3"/>
        <item x="0"/>
        <item x="7"/>
        <item x="2"/>
        <item x="8"/>
        <item t="default"/>
      </items>
    </pivotField>
    <pivotField dataField="1" showAll="0">
      <items count="7">
        <item x="4"/>
        <item x="1"/>
        <item x="0"/>
        <item x="3"/>
        <item x="2"/>
        <item x="5"/>
        <item t="default"/>
      </items>
    </pivotField>
    <pivotField dataField="1" showAll="0">
      <items count="6">
        <item x="4"/>
        <item x="1"/>
        <item x="2"/>
        <item x="0"/>
        <item x="3"/>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11">
    <i>
      <x v="304"/>
    </i>
    <i>
      <x v="305"/>
    </i>
    <i>
      <x v="306"/>
    </i>
    <i>
      <x v="307"/>
    </i>
    <i>
      <x v="308"/>
    </i>
    <i>
      <x v="309"/>
    </i>
    <i>
      <x v="310"/>
    </i>
    <i>
      <x v="311"/>
    </i>
    <i>
      <x v="312"/>
    </i>
    <i>
      <x v="313"/>
    </i>
    <i t="grand">
      <x/>
    </i>
  </rowItems>
  <colFields count="1">
    <field x="-2"/>
  </colFields>
  <colItems count="2">
    <i>
      <x/>
    </i>
    <i i="1">
      <x v="1"/>
    </i>
  </colItems>
  <dataFields count="2">
    <dataField name="Sum of Ticket_Price" fld="4" baseField="0" baseItem="0"/>
    <dataField name="Sum of Tickets_Booked" fld="3"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14" firstHeaderRow="0" firstDataRow="1" firstDataCol="1"/>
  <pivotFields count="7">
    <pivotField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axis="axisRow" showAll="0">
      <items count="11">
        <item x="4"/>
        <item x="6"/>
        <item x="1"/>
        <item x="9"/>
        <item x="5"/>
        <item x="3"/>
        <item x="0"/>
        <item x="7"/>
        <item x="2"/>
        <item x="8"/>
        <item t="default"/>
      </items>
    </pivotField>
    <pivotField dataField="1" showAll="0">
      <items count="7">
        <item x="4"/>
        <item x="1"/>
        <item x="0"/>
        <item x="3"/>
        <item x="2"/>
        <item x="5"/>
        <item t="default"/>
      </items>
    </pivotField>
    <pivotField dataField="1" showAll="0">
      <items count="6">
        <item x="4"/>
        <item x="1"/>
        <item x="2"/>
        <item x="0"/>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icket_Price" fld="4" baseField="0" baseItem="0"/>
    <dataField name="Sum of Tickets_Booked" fld="3" baseField="0" baseItem="0"/>
  </dataField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vie_Name" sourceName="Movie_Name">
  <pivotTables>
    <pivotTable tabId="14" name="PivotTable6"/>
  </pivotTables>
  <data>
    <tabular pivotCacheId="1">
      <items count="10">
        <i x="7" s="1"/>
        <i x="6" s="1"/>
        <i x="5" s="1"/>
        <i x="8" s="1"/>
        <i x="0" s="1" nd="1"/>
        <i x="1" s="1" nd="1"/>
        <i x="3" s="1" nd="1"/>
        <i x="9" s="1" nd="1"/>
        <i x="4"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re" sourceName="Genre">
  <pivotTables>
    <pivotTable tabId="14" name="PivotTable6"/>
    <pivotTable tabId="14" name="PivotTable16"/>
    <pivotTable tabId="14" name="PivotTable3"/>
    <pivotTable tabId="14" name="PivotTable4"/>
    <pivotTable tabId="14" name="PivotTable5"/>
  </pivotTables>
  <data>
    <tabular pivotCacheId="1">
      <items count="6">
        <i x="0" s="1"/>
        <i x="1" s="1"/>
        <i x="4" s="1"/>
        <i x="3" s="1" nd="1"/>
        <i x="2"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uration" sourceName="Duration">
  <pivotTables>
    <pivotTable tabId="14" name="PivotTable6"/>
    <pivotTable tabId="14" name="PivotTable16"/>
    <pivotTable tabId="14" name="PivotTable3"/>
    <pivotTable tabId="14" name="PivotTable4"/>
    <pivotTable tabId="14" name="PivotTable5"/>
  </pivotTables>
  <data>
    <tabular pivotCacheId="1">
      <items count="9">
        <i x="4" s="1"/>
        <i x="7" s="1"/>
        <i x="5" s="1"/>
        <i x="6" s="1"/>
        <i x="2" s="1" nd="1"/>
        <i x="1" s="1" nd="1"/>
        <i x="8" s="1" nd="1"/>
        <i x="3"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14" name="PivotTable6"/>
    <pivotTable tabId="14" name="PivotTable16"/>
    <pivotTable tabId="14" name="PivotTable3"/>
    <pivotTable tabId="14" name="PivotTable4"/>
    <pivotTable tabId="14" name="PivotTable5"/>
  </pivotTables>
  <data>
    <tabular pivotCacheId="1">
      <items count="9">
        <i x="5" s="1"/>
        <i x="6" s="1"/>
        <i x="8" s="1"/>
        <i x="7" s="1"/>
        <i x="1" s="1" nd="1"/>
        <i x="4" s="1" nd="1"/>
        <i x="3" s="1" nd="1"/>
        <i x="2" s="1" nd="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anguage" sourceName="language">
  <pivotTables>
    <pivotTable tabId="14" name="PivotTable6"/>
    <pivotTable tabId="14" name="PivotTable16"/>
    <pivotTable tabId="14" name="PivotTable3"/>
    <pivotTable tabId="14" name="PivotTable4"/>
    <pivotTable tabId="14" name="PivotTable5"/>
  </pivotTables>
  <data>
    <tabular pivotCacheId="1">
      <items count="4">
        <i x="0"/>
        <i x="2" s="1"/>
        <i x="3"/>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heater_Name" sourceName="Theater_Name">
  <pivotTables>
    <pivotTable tabId="17" name="PivotTable18"/>
    <pivotTable tabId="17" name="PivotTable20"/>
  </pivotTables>
  <data>
    <tabular pivotCacheId="2">
      <items count="10">
        <i x="4" s="1"/>
        <i x="0"/>
        <i x="3" nd="1"/>
        <i x="2" nd="1"/>
        <i x="8" nd="1"/>
        <i x="9" nd="1"/>
        <i x="1" nd="1"/>
        <i x="6" nd="1"/>
        <i x="5" nd="1"/>
        <i x="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7" name="PivotTable18"/>
    <pivotTable tabId="17" name="PivotTable20"/>
  </pivotTables>
  <data>
    <tabular pivotCacheId="2">
      <items count="7">
        <i x="0" s="1"/>
        <i x="1" nd="1"/>
        <i x="2" nd="1"/>
        <i x="3" nd="1"/>
        <i x="5" nd="1"/>
        <i x="6" nd="1"/>
        <i x="4"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apacity" sourceName="Capacity">
  <pivotTables>
    <pivotTable tabId="17" name="PivotTable18"/>
    <pivotTable tabId="17" name="PivotTable20"/>
  </pivotTables>
  <data>
    <tabular pivotCacheId="2">
      <items count="7">
        <i x="4" s="1"/>
        <i x="6" s="1" nd="1"/>
        <i x="3" s="1" nd="1"/>
        <i x="1" s="1" nd="1"/>
        <i x="5" s="1" nd="1"/>
        <i x="2" s="1" nd="1"/>
        <i x="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Screens" sourceName="Screens">
  <pivotTables>
    <pivotTable tabId="17" name="PivotTable18"/>
    <pivotTable tabId="17" name="PivotTable20"/>
  </pivotTables>
  <data>
    <tabular pivotCacheId="2">
      <items count="5">
        <i x="4" s="1"/>
        <i x="3" s="1" nd="1"/>
        <i x="1" s="1" nd="1"/>
        <i x="0"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17" name="PivotTable18"/>
    <pivotTable tabId="17" name="PivotTable20"/>
  </pivotTables>
  <data>
    <tabular pivotCacheId="2">
      <items count="3">
        <i x="0" s="1"/>
        <i x="1" s="1" nd="1"/>
        <i x="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Rating1" sourceName="Rating">
  <pivotTables>
    <pivotTable tabId="17" name="PivotTable18"/>
    <pivotTable tabId="17" name="PivotTable20"/>
  </pivotTables>
  <data>
    <tabular pivotCacheId="2">
      <items count="8">
        <i x="4" s="1"/>
        <i x="7" s="1" nd="1"/>
        <i x="3" s="1" nd="1"/>
        <i x="5" s="1" nd="1"/>
        <i x="1" s="1" nd="1"/>
        <i x="0" s="1" nd="1"/>
        <i x="2" s="1" nd="1"/>
        <i x="6"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Show_ID" sourceName="Show_ID">
  <pivotTables>
    <pivotTable tabId="24" name="PivotTable6"/>
    <pivotTable tabId="24" name="PivotTable7"/>
    <pivotTable tabId="24" name="PivotTable8"/>
    <pivotTable tabId="24" name="PivotTable9"/>
  </pivotTables>
  <data>
    <tabular pivotCacheId="3">
      <items count="10">
        <i x="0" s="1"/>
        <i x="1" s="1"/>
        <i x="2" s="1"/>
        <i x="3" s="1"/>
        <i x="4" s="1"/>
        <i x="5" s="1"/>
        <i x="6" s="1"/>
        <i x="7" s="1"/>
        <i x="8" s="1"/>
        <i x="9"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Movie_ID" sourceName="Movie_ID">
  <pivotTables>
    <pivotTable tabId="24" name="PivotTable6"/>
    <pivotTable tabId="24" name="PivotTable7"/>
    <pivotTable tabId="24" name="PivotTable8"/>
    <pivotTable tabId="24" name="PivotTable9"/>
  </pivotTables>
  <data>
    <tabular pivotCacheId="3">
      <items count="10">
        <i x="0" s="1"/>
        <i x="1" s="1"/>
        <i x="2" s="1"/>
        <i x="3" s="1"/>
        <i x="4" s="1"/>
        <i x="5" s="1"/>
        <i x="6" s="1"/>
        <i x="7" s="1"/>
        <i x="8" s="1"/>
        <i x="9"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Theater_ID" sourceName="Theater_ID">
  <pivotTables>
    <pivotTable tabId="24" name="PivotTable6"/>
    <pivotTable tabId="24" name="PivotTable7"/>
    <pivotTable tabId="24" name="PivotTable8"/>
    <pivotTable tabId="24" name="PivotTable9"/>
  </pivotTables>
  <data>
    <tabular pivotCacheId="3">
      <items count="10">
        <i x="0" s="1"/>
        <i x="1" s="1"/>
        <i x="2" s="1"/>
        <i x="3" s="1"/>
        <i x="4" s="1"/>
        <i x="5" s="1"/>
        <i x="6" s="1"/>
        <i x="7" s="1"/>
        <i x="8" s="1"/>
        <i x="9"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Show_Date" sourceName="Show_Date">
  <pivotTables>
    <pivotTable tabId="24" name="PivotTable6"/>
    <pivotTable tabId="24" name="PivotTable7"/>
    <pivotTable tabId="24" name="PivotTable8"/>
    <pivotTable tabId="24" name="PivotTable9"/>
  </pivotTables>
  <data>
    <tabular pivotCacheId="3">
      <items count="368">
        <i x="306" s="1"/>
        <i x="307" s="1"/>
        <i x="304" s="1"/>
        <i x="305" s="1"/>
        <i x="308" s="1"/>
        <i x="309" s="1"/>
        <i x="310" s="1"/>
        <i x="311" s="1"/>
        <i x="312" s="1"/>
        <i x="313" s="1"/>
        <i x="0" s="1" nd="1"/>
        <i x="367"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92" s="1" nd="1"/>
        <i x="214" s="1" nd="1"/>
        <i x="336" s="1" nd="1"/>
        <i x="32" s="1" nd="1"/>
        <i x="1" s="1" nd="1"/>
        <i x="183" s="1" nd="1"/>
        <i x="153" s="1" nd="1"/>
        <i x="61" s="1" nd="1"/>
        <i x="122" s="1" nd="1"/>
        <i x="275" s="1" nd="1"/>
        <i x="245"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93" s="1" nd="1"/>
        <i x="215" s="1" nd="1"/>
        <i x="337" s="1" nd="1"/>
        <i x="33" s="1" nd="1"/>
        <i x="2" s="1" nd="1"/>
        <i x="184" s="1" nd="1"/>
        <i x="154" s="1" nd="1"/>
        <i x="62" s="1" nd="1"/>
        <i x="123" s="1" nd="1"/>
        <i x="276" s="1" nd="1"/>
        <i x="246" s="1" nd="1"/>
        <i x="121" s="1" nd="1"/>
        <i x="243" s="1" nd="1"/>
        <i x="365" s="1" nd="1"/>
        <i x="30" s="1" nd="1"/>
        <i x="212" s="1" nd="1"/>
        <i x="182" s="1" nd="1"/>
        <i x="90" s="1" nd="1"/>
        <i x="151" s="1" nd="1"/>
        <i x="335" s="1" nd="1"/>
        <i x="274" s="1" nd="1"/>
        <i x="244" s="1" nd="1"/>
        <i x="366" s="1" nd="1"/>
        <i x="31" s="1" nd="1"/>
        <i x="213" s="1" nd="1"/>
        <i x="91" s="1" nd="1"/>
        <i x="152" s="1" nd="1"/>
        <i x="94" s="1" nd="1"/>
        <i x="216" s="1" nd="1"/>
        <i x="338" s="1" nd="1"/>
        <i x="34" s="1" nd="1"/>
        <i x="3" s="1" nd="1"/>
        <i x="185" s="1" nd="1"/>
        <i x="155" s="1" nd="1"/>
        <i x="63" s="1" nd="1"/>
        <i x="124" s="1" nd="1"/>
        <i x="277" s="1" nd="1"/>
        <i x="247" s="1" nd="1"/>
        <i x="95" s="1" nd="1"/>
        <i x="217" s="1" nd="1"/>
        <i x="339" s="1" nd="1"/>
        <i x="35" s="1" nd="1"/>
        <i x="4" s="1" nd="1"/>
        <i x="186" s="1" nd="1"/>
        <i x="156" s="1" nd="1"/>
        <i x="64" s="1" nd="1"/>
        <i x="125" s="1" nd="1"/>
        <i x="278" s="1" nd="1"/>
        <i x="248" s="1" nd="1"/>
        <i x="96" s="1" nd="1"/>
        <i x="218" s="1" nd="1"/>
        <i x="340" s="1" nd="1"/>
        <i x="36" s="1" nd="1"/>
        <i x="5" s="1" nd="1"/>
        <i x="187" s="1" nd="1"/>
        <i x="157" s="1" nd="1"/>
        <i x="65" s="1" nd="1"/>
        <i x="126" s="1" nd="1"/>
        <i x="279" s="1" nd="1"/>
        <i x="249" s="1" nd="1"/>
        <i x="97" s="1" nd="1"/>
        <i x="219" s="1" nd="1"/>
        <i x="341" s="1" nd="1"/>
        <i x="37" s="1" nd="1"/>
        <i x="6" s="1" nd="1"/>
        <i x="188" s="1" nd="1"/>
        <i x="158" s="1" nd="1"/>
        <i x="66" s="1" nd="1"/>
        <i x="127" s="1" nd="1"/>
        <i x="280" s="1" nd="1"/>
        <i x="250" s="1" nd="1"/>
        <i x="98" s="1" nd="1"/>
        <i x="220" s="1" nd="1"/>
        <i x="342" s="1" nd="1"/>
        <i x="38" s="1" nd="1"/>
        <i x="7" s="1" nd="1"/>
        <i x="189" s="1" nd="1"/>
        <i x="159" s="1" nd="1"/>
        <i x="67" s="1" nd="1"/>
        <i x="128" s="1" nd="1"/>
        <i x="281" s="1" nd="1"/>
        <i x="251" s="1" nd="1"/>
        <i x="99" s="1" nd="1"/>
        <i x="221" s="1" nd="1"/>
        <i x="343" s="1" nd="1"/>
        <i x="39" s="1" nd="1"/>
        <i x="8" s="1" nd="1"/>
        <i x="190" s="1" nd="1"/>
        <i x="160" s="1" nd="1"/>
        <i x="68" s="1" nd="1"/>
        <i x="129" s="1" nd="1"/>
        <i x="282" s="1" nd="1"/>
        <i x="252" s="1" nd="1"/>
        <i x="100" s="1" nd="1"/>
        <i x="222" s="1" nd="1"/>
        <i x="344" s="1" nd="1"/>
        <i x="40" s="1" nd="1"/>
        <i x="9" s="1" nd="1"/>
        <i x="191" s="1" nd="1"/>
        <i x="161" s="1" nd="1"/>
        <i x="69" s="1" nd="1"/>
        <i x="130" s="1" nd="1"/>
        <i x="314" s="1" nd="1"/>
        <i x="283" s="1" nd="1"/>
        <i x="253"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Show_Time" sourceName="Show_Time">
  <pivotTables>
    <pivotTable tabId="24" name="PivotTable6"/>
    <pivotTable tabId="24" name="PivotTable7"/>
    <pivotTable tabId="24" name="PivotTable8"/>
    <pivotTable tabId="24" name="PivotTable9"/>
  </pivotTables>
  <data>
    <tabular pivotCacheId="3">
      <items count="6">
        <i x="3" s="1"/>
        <i x="5" s="1"/>
        <i x="2" s="1"/>
        <i x="0" s="1"/>
        <i x="4" s="1"/>
        <i x="1"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Booking_ID" sourceName="Booking_ID">
  <pivotTables>
    <pivotTable tabId="25" name="PivotTable1"/>
    <pivotTable tabId="25" name="PivotTable2"/>
    <pivotTable tabId="25" name="PivotTable3"/>
    <pivotTable tabId="25" name="PivotTable4"/>
  </pivotTables>
  <data>
    <tabular pivotCacheId="4">
      <items count="10">
        <i x="0" s="1"/>
        <i x="1" s="1"/>
        <i x="2" s="1"/>
        <i x="3" s="1"/>
        <i x="4" s="1"/>
        <i x="5" s="1"/>
        <i x="6" s="1"/>
        <i x="7" s="1"/>
        <i x="8" s="1"/>
        <i x="9"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Show_ID1" sourceName="Show_ID">
  <pivotTables>
    <pivotTable tabId="25" name="PivotTable1"/>
    <pivotTable tabId="25" name="PivotTable2"/>
    <pivotTable tabId="25" name="PivotTable3"/>
    <pivotTable tabId="25" name="PivotTable4"/>
  </pivotTables>
  <data>
    <tabular pivotCacheId="4">
      <items count="10">
        <i x="0" s="1"/>
        <i x="1" s="1"/>
        <i x="2" s="1"/>
        <i x="3" s="1"/>
        <i x="4" s="1"/>
        <i x="5" s="1"/>
        <i x="6" s="1"/>
        <i x="7" s="1"/>
        <i x="8" s="1"/>
        <i x="9"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_Name">
  <pivotTables>
    <pivotTable tabId="25" name="PivotTable1"/>
    <pivotTable tabId="25" name="PivotTable2"/>
    <pivotTable tabId="25" name="PivotTable3"/>
    <pivotTable tabId="25" name="PivotTable4"/>
  </pivotTables>
  <data>
    <tabular pivotCacheId="4">
      <items count="10">
        <i x="4" s="1"/>
        <i x="6" s="1"/>
        <i x="1" s="1"/>
        <i x="9" s="1"/>
        <i x="5" s="1"/>
        <i x="3" s="1"/>
        <i x="0" s="1"/>
        <i x="7" s="1"/>
        <i x="2" s="1"/>
        <i x="8"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Tickets_Booked" sourceName="Tickets_Booked">
  <pivotTables>
    <pivotTable tabId="25" name="PivotTable1"/>
    <pivotTable tabId="25" name="PivotTable2"/>
    <pivotTable tabId="25" name="PivotTable3"/>
    <pivotTable tabId="25" name="PivotTable4"/>
  </pivotTables>
  <data>
    <tabular pivotCacheId="4">
      <items count="6">
        <i x="4" s="1"/>
        <i x="1" s="1"/>
        <i x="0" s="1"/>
        <i x="3" s="1"/>
        <i x="2" s="1"/>
        <i x="5"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Ticket_Price" sourceName="Ticket_Price">
  <pivotTables>
    <pivotTable tabId="25" name="PivotTable1"/>
    <pivotTable tabId="25" name="PivotTable2"/>
    <pivotTable tabId="25" name="PivotTable3"/>
    <pivotTable tabId="25" name="PivotTable4"/>
  </pivotTables>
  <data>
    <tabular pivotCacheId="4">
      <items count="5">
        <i x="4" s="1"/>
        <i x="1" s="1"/>
        <i x="2" s="1"/>
        <i x="0"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Booking_Date" sourceName="Booking_Date">
  <pivotTables>
    <pivotTable tabId="25" name="PivotTable1"/>
    <pivotTable tabId="25" name="PivotTable2"/>
    <pivotTable tabId="25" name="PivotTable3"/>
    <pivotTable tabId="25" name="PivotTable4"/>
  </pivotTables>
  <data>
    <tabular pivotCacheId="4">
      <items count="368">
        <i x="306" s="1"/>
        <i x="307" s="1"/>
        <i x="304" s="1"/>
        <i x="305" s="1"/>
        <i x="308" s="1"/>
        <i x="309" s="1"/>
        <i x="310" s="1"/>
        <i x="311" s="1"/>
        <i x="312" s="1"/>
        <i x="313" s="1"/>
        <i x="0" s="1" nd="1"/>
        <i x="367"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92" s="1" nd="1"/>
        <i x="214" s="1" nd="1"/>
        <i x="336" s="1" nd="1"/>
        <i x="32" s="1" nd="1"/>
        <i x="1" s="1" nd="1"/>
        <i x="183" s="1" nd="1"/>
        <i x="153" s="1" nd="1"/>
        <i x="61" s="1" nd="1"/>
        <i x="122" s="1" nd="1"/>
        <i x="275" s="1" nd="1"/>
        <i x="245"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93" s="1" nd="1"/>
        <i x="215" s="1" nd="1"/>
        <i x="337" s="1" nd="1"/>
        <i x="33" s="1" nd="1"/>
        <i x="2" s="1" nd="1"/>
        <i x="184" s="1" nd="1"/>
        <i x="154" s="1" nd="1"/>
        <i x="62" s="1" nd="1"/>
        <i x="123" s="1" nd="1"/>
        <i x="276" s="1" nd="1"/>
        <i x="246" s="1" nd="1"/>
        <i x="121" s="1" nd="1"/>
        <i x="243" s="1" nd="1"/>
        <i x="365" s="1" nd="1"/>
        <i x="30" s="1" nd="1"/>
        <i x="212" s="1" nd="1"/>
        <i x="182" s="1" nd="1"/>
        <i x="90" s="1" nd="1"/>
        <i x="151" s="1" nd="1"/>
        <i x="335" s="1" nd="1"/>
        <i x="274" s="1" nd="1"/>
        <i x="244" s="1" nd="1"/>
        <i x="366" s="1" nd="1"/>
        <i x="31" s="1" nd="1"/>
        <i x="213" s="1" nd="1"/>
        <i x="91" s="1" nd="1"/>
        <i x="152" s="1" nd="1"/>
        <i x="94" s="1" nd="1"/>
        <i x="216" s="1" nd="1"/>
        <i x="338" s="1" nd="1"/>
        <i x="34" s="1" nd="1"/>
        <i x="3" s="1" nd="1"/>
        <i x="185" s="1" nd="1"/>
        <i x="155" s="1" nd="1"/>
        <i x="63" s="1" nd="1"/>
        <i x="124" s="1" nd="1"/>
        <i x="277" s="1" nd="1"/>
        <i x="247" s="1" nd="1"/>
        <i x="95" s="1" nd="1"/>
        <i x="217" s="1" nd="1"/>
        <i x="339" s="1" nd="1"/>
        <i x="35" s="1" nd="1"/>
        <i x="4" s="1" nd="1"/>
        <i x="186" s="1" nd="1"/>
        <i x="156" s="1" nd="1"/>
        <i x="64" s="1" nd="1"/>
        <i x="125" s="1" nd="1"/>
        <i x="278" s="1" nd="1"/>
        <i x="248" s="1" nd="1"/>
        <i x="96" s="1" nd="1"/>
        <i x="218" s="1" nd="1"/>
        <i x="340" s="1" nd="1"/>
        <i x="36" s="1" nd="1"/>
        <i x="5" s="1" nd="1"/>
        <i x="187" s="1" nd="1"/>
        <i x="157" s="1" nd="1"/>
        <i x="65" s="1" nd="1"/>
        <i x="126" s="1" nd="1"/>
        <i x="279" s="1" nd="1"/>
        <i x="249" s="1" nd="1"/>
        <i x="97" s="1" nd="1"/>
        <i x="219" s="1" nd="1"/>
        <i x="341" s="1" nd="1"/>
        <i x="37" s="1" nd="1"/>
        <i x="6" s="1" nd="1"/>
        <i x="188" s="1" nd="1"/>
        <i x="158" s="1" nd="1"/>
        <i x="66" s="1" nd="1"/>
        <i x="127" s="1" nd="1"/>
        <i x="280" s="1" nd="1"/>
        <i x="250" s="1" nd="1"/>
        <i x="98" s="1" nd="1"/>
        <i x="220" s="1" nd="1"/>
        <i x="342" s="1" nd="1"/>
        <i x="38" s="1" nd="1"/>
        <i x="7" s="1" nd="1"/>
        <i x="189" s="1" nd="1"/>
        <i x="159" s="1" nd="1"/>
        <i x="67" s="1" nd="1"/>
        <i x="128" s="1" nd="1"/>
        <i x="281" s="1" nd="1"/>
        <i x="251" s="1" nd="1"/>
        <i x="99" s="1" nd="1"/>
        <i x="221" s="1" nd="1"/>
        <i x="343" s="1" nd="1"/>
        <i x="39" s="1" nd="1"/>
        <i x="8" s="1" nd="1"/>
        <i x="190" s="1" nd="1"/>
        <i x="160" s="1" nd="1"/>
        <i x="68" s="1" nd="1"/>
        <i x="129" s="1" nd="1"/>
        <i x="282" s="1" nd="1"/>
        <i x="252" s="1" nd="1"/>
        <i x="100" s="1" nd="1"/>
        <i x="222" s="1" nd="1"/>
        <i x="344" s="1" nd="1"/>
        <i x="40" s="1" nd="1"/>
        <i x="9" s="1" nd="1"/>
        <i x="191" s="1" nd="1"/>
        <i x="161" s="1" nd="1"/>
        <i x="69" s="1" nd="1"/>
        <i x="130" s="1" nd="1"/>
        <i x="314" s="1" nd="1"/>
        <i x="283" s="1" nd="1"/>
        <i x="253"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mc:Ignorable="x" name="Slicer_Movie_ID1" sourceName="Movie_ID">
  <pivotTables>
    <pivotTable tabId="14" name="PivotTable6"/>
  </pivotTables>
  <data>
    <tabular pivotCacheId="1">
      <items count="10">
        <i x="5" s="1"/>
        <i x="6" s="1"/>
        <i x="7" s="1"/>
        <i x="8" s="1"/>
        <i x="0" s="1" nd="1"/>
        <i x="1" s="1" nd="1"/>
        <i x="2" s="1" nd="1"/>
        <i x="3" s="1" nd="1"/>
        <i x="4"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vie_Name 1" cache="Slicer_Movie_Name" caption="Movie_Name" rowHeight="241300"/>
  <slicer name="Genre 1" cache="Slicer_Genre" caption="Genre" rowHeight="241300"/>
  <slicer name="Duration 1" cache="Slicer_Duration" caption="Duration" rowHeight="241300"/>
  <slicer name="Rating 2" cache="Slicer_Rating" caption="Rating" rowHeight="241300"/>
  <slicer name="language 1" cache="Slicer_language" caption="language" rowHeight="241300"/>
  <slicer name="Movie_ID 1" cache="Slicer_Movie_ID1" caption="Movie_I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vie_Name" cache="Slicer_Movie_Name" caption="Movie_Name" columnCount="3" rowHeight="241300"/>
  <slicer name="Genre" cache="Slicer_Genre" caption="Genre" columnCount="2" rowHeight="241300"/>
  <slicer name="Duration" cache="Slicer_Duration" caption="Duration" columnCount="3" rowHeight="241300"/>
  <slicer name="Rating" cache="Slicer_Rating" caption="Rating" columnCount="3" rowHeight="241300"/>
  <slicer name="language" cache="Slicer_language" caption="language" columnCount="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Theater_Name" cache="Slicer_Theater_Name" caption="Theater_Name" columnCount="2" rowHeight="241300"/>
  <slicer name="City" cache="Slicer_City" caption="City" columnCount="2" rowHeight="241300"/>
  <slicer name="Capacity" cache="Slicer_Capacity" caption="Capacity" columnCount="2" rowHeight="241300"/>
  <slicer name="Screens" cache="Slicer_Screens" caption="Screens" columnCount="2" rowHeight="241300"/>
  <slicer name="Type" cache="Slicer_Type" caption="Type" rowHeight="241300"/>
  <slicer name="Rating 1" cache="Slicer_Rating1" caption="Rating" columnCount="2"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Show_ID" cache="Slicer_Show_ID" caption="Show_ID" columnCount="3" rowHeight="241300"/>
  <slicer name="Movie_ID" cache="Slicer_Movie_ID" caption="Movie_ID" columnCount="3" rowHeight="241300"/>
  <slicer name="Theater_ID" cache="Slicer_Theater_ID" caption="Theater_ID" columnCount="3" rowHeight="241300"/>
  <slicer name="Show_Date" cache="Slicer_Show_Date" caption="Show_Date" columnCount="2" rowHeight="241300"/>
  <slicer name="Show_Time" cache="Slicer_Show_Time" caption="Show_Time" columnCount="3"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Booking_ID" cache="Slicer_Booking_ID" caption="Booking_ID" columnCount="3" rowHeight="241300"/>
  <slicer name="Show_ID 1" cache="Slicer_Show_ID1" caption="Show_ID" columnCount="3" rowHeight="241300"/>
  <slicer name="Customer_Name" cache="Slicer_Customer_Name" caption="Customer_Name" columnCount="3" rowHeight="241300"/>
  <slicer name="Tickets_Booked" cache="Slicer_Tickets_Booked" caption="Tickets_Booked" columnCount="2" rowHeight="241300"/>
  <slicer name="Ticket_Price" cache="Slicer_Ticket_Price" caption="Ticket_Price" columnCount="2" rowHeight="241300"/>
  <slicer name="Booking_Date" cache="Slicer_Booking_Date" caption="Booking_Date" columnCount="3"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Movie_Name 2" cache="Slicer_Movie_Name" caption="Movie_Name" rowHeight="241300"/>
  <slicer name="Genre 2" cache="Slicer_Genre" caption="Genre" rowHeight="241300"/>
  <slicer name="Duration 2" cache="Slicer_Duration" caption="Duration" rowHeight="241300"/>
  <slicer name="Rating 3" cache="Slicer_Rating" caption="Rating" rowHeight="241300"/>
  <slicer name="language 2" cache="Slicer_language" caption="language" rowHeight="241300"/>
  <slicer name="Theater_Name 1" cache="Slicer_Theater_Name" caption="Theater_Name" columnCount="2" rowHeight="241300"/>
  <slicer name="City 1" cache="Slicer_City" caption="City" columnCount="2" rowHeight="241300"/>
  <slicer name="Capacity 1" cache="Slicer_Capacity" caption="Capacity" columnCount="2" rowHeight="241300"/>
  <slicer name="Screens 1" cache="Slicer_Screens" caption="Screens" columnCount="2" rowHeight="241300"/>
  <slicer name="Type 1" cache="Slicer_Type" caption="Type" rowHeight="241300"/>
  <slicer name="Rating 4" cache="Slicer_Rating1" caption="Rating" columnCount="2" rowHeight="241300"/>
  <slicer name="Show_ID 2" cache="Slicer_Show_ID" caption="Show_ID" columnCount="3" rowHeight="241300"/>
  <slicer name="Movie_ID 2" cache="Slicer_Movie_ID" caption="Movie_ID" columnCount="3" rowHeight="241300"/>
  <slicer name="Theater_ID 1" cache="Slicer_Theater_ID" caption="Theater_ID" columnCount="3" rowHeight="241300"/>
  <slicer name="Show_Date 1" cache="Slicer_Show_Date" caption="Show_Date" columnCount="2" rowHeight="241300"/>
  <slicer name="Show_Time 1" cache="Slicer_Show_Time" caption="Show_Time" columnCount="3" rowHeight="241300"/>
  <slicer name="Booking_ID 1" cache="Slicer_Booking_ID" caption="Booking_ID" columnCount="3" rowHeight="241300"/>
  <slicer name="Show_ID 3" cache="Slicer_Show_ID1" caption="Show_ID" columnCount="3" rowHeight="241300"/>
  <slicer name="Customer_Name 1" cache="Slicer_Customer_Name" caption="Customer_Name" columnCount="3" rowHeight="241300"/>
  <slicer name="Tickets_Booked 1" cache="Slicer_Tickets_Booked" caption="Tickets_Booked" columnCount="2" rowHeight="241300"/>
  <slicer name="Ticket_Price 1" cache="Slicer_Ticket_Price" caption="Ticket_Price" columnCount="2" rowHeight="241300"/>
  <slicer name="Booking_Date 1" cache="Slicer_Booking_Date" caption="Booking_Date" columnCount="3" rowHeight="241300"/>
</slicers>
</file>

<file path=xl/tables/table1.xml><?xml version="1.0" encoding="utf-8"?>
<table xmlns="http://schemas.openxmlformats.org/spreadsheetml/2006/main" id="1" name="Movies" displayName="Movies" ref="A1:F11" totalsRowShown="0">
  <autoFilter ref="A1:F11">
    <filterColumn colId="0" hiddenButton="1"/>
    <filterColumn colId="1" hiddenButton="1"/>
    <filterColumn colId="2" hiddenButton="1"/>
    <filterColumn colId="3" hiddenButton="1"/>
    <filterColumn colId="4" hiddenButton="1"/>
    <filterColumn colId="5" hiddenButton="1"/>
  </autoFilter>
  <tableColumns count="6">
    <tableColumn id="1" name="Movie_ID"/>
    <tableColumn id="2" name="Movie_Name"/>
    <tableColumn id="3" name="Genre"/>
    <tableColumn id="4" name="Duration"/>
    <tableColumn id="5" name="Rating"/>
    <tableColumn id="6" name="language"/>
  </tableColumns>
  <tableStyleInfo name="TableStyleLight18" showFirstColumn="0" showLastColumn="0" showRowStripes="1" showColumnStripes="0"/>
</table>
</file>

<file path=xl/tables/table2.xml><?xml version="1.0" encoding="utf-8"?>
<table xmlns="http://schemas.openxmlformats.org/spreadsheetml/2006/main" id="2" name="Theater" displayName="Theater" ref="A1:H11" totalsRowShown="0">
  <autoFilter ref="A1:H1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Theater_ID"/>
    <tableColumn id="2" name="Theater_Name"/>
    <tableColumn id="3" name="City"/>
    <tableColumn id="4" name="City2"/>
    <tableColumn id="5" name="Capacity"/>
    <tableColumn id="6" name="Screens"/>
    <tableColumn id="7" name="Type"/>
    <tableColumn id="8" name="Rating"/>
  </tableColumns>
  <tableStyleInfo name="TableStyleLight18" showFirstColumn="0" showLastColumn="0" showRowStripes="1" showColumnStripes="0"/>
</table>
</file>

<file path=xl/tables/table3.xml><?xml version="1.0" encoding="utf-8"?>
<table xmlns="http://schemas.openxmlformats.org/spreadsheetml/2006/main" id="3" name="Shows" displayName="Shows" ref="A1:E11" totalsRowShown="0" headerRowDxfId="9" headerRowBorderDxfId="8" tableBorderDxfId="7" totalsRowBorderDxfId="6">
  <autoFilter ref="A1:E11">
    <filterColumn colId="0" hiddenButton="1"/>
    <filterColumn colId="1" hiddenButton="1"/>
    <filterColumn colId="2" hiddenButton="1"/>
    <filterColumn colId="3" hiddenButton="1"/>
    <filterColumn colId="4" hiddenButton="1"/>
  </autoFilter>
  <tableColumns count="5">
    <tableColumn id="1" name="Show_ID" dataDxfId="5"/>
    <tableColumn id="2" name="Movie_ID" dataDxfId="4">
      <calculatedColumnFormula>Movies[[#This Row],[Movie_ID]]</calculatedColumnFormula>
    </tableColumn>
    <tableColumn id="3" name="Theater_ID" dataDxfId="3">
      <calculatedColumnFormula>Theater[[#This Row],[Theater_ID]]</calculatedColumnFormula>
    </tableColumn>
    <tableColumn id="4" name="Show_Date" dataDxfId="2"/>
    <tableColumn id="5" name="Show_Time" dataDxfId="1"/>
  </tableColumns>
  <tableStyleInfo name="TableStyleLight18" showFirstColumn="0" showLastColumn="0" showRowStripes="1" showColumnStripes="0"/>
</table>
</file>

<file path=xl/tables/table4.xml><?xml version="1.0" encoding="utf-8"?>
<table xmlns="http://schemas.openxmlformats.org/spreadsheetml/2006/main" id="4" name="Bookings" displayName="Bookings" ref="A1:F11" totalsRowShown="0">
  <autoFilter ref="A1:F11">
    <filterColumn colId="0" hiddenButton="1"/>
    <filterColumn colId="1" hiddenButton="1"/>
    <filterColumn colId="2" hiddenButton="1"/>
    <filterColumn colId="3" hiddenButton="1"/>
    <filterColumn colId="4" hiddenButton="1"/>
    <filterColumn colId="5" hiddenButton="1"/>
  </autoFilter>
  <tableColumns count="6">
    <tableColumn id="1" name="Booking_ID"/>
    <tableColumn id="2" name="Show_ID">
      <calculatedColumnFormula>Shows[[#This Row],[Show_ID]]</calculatedColumnFormula>
    </tableColumn>
    <tableColumn id="3" name="Customer_Name"/>
    <tableColumn id="4" name="Tickets_Booked"/>
    <tableColumn id="5" name="Ticket_Price"/>
    <tableColumn id="6" name="Booking_Date"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D17" sqref="D17"/>
    </sheetView>
  </sheetViews>
  <sheetFormatPr defaultRowHeight="15" x14ac:dyDescent="0.25"/>
  <cols>
    <col min="1" max="1" width="11.7109375" customWidth="1"/>
    <col min="2" max="2" width="23.42578125" bestFit="1" customWidth="1"/>
    <col min="4" max="4" width="10.85546875" customWidth="1"/>
    <col min="6" max="6" width="11.140625" customWidth="1"/>
  </cols>
  <sheetData>
    <row r="1" spans="1:6" x14ac:dyDescent="0.25">
      <c r="A1" t="s">
        <v>0</v>
      </c>
      <c r="B1" t="s">
        <v>1</v>
      </c>
      <c r="C1" t="s">
        <v>2</v>
      </c>
      <c r="D1" t="s">
        <v>3</v>
      </c>
      <c r="E1" t="s">
        <v>4</v>
      </c>
      <c r="F1" t="s">
        <v>23</v>
      </c>
    </row>
    <row r="2" spans="1:6" x14ac:dyDescent="0.25">
      <c r="A2" t="s">
        <v>5</v>
      </c>
      <c r="B2" t="s">
        <v>15</v>
      </c>
      <c r="C2" t="s">
        <v>16</v>
      </c>
      <c r="D2">
        <v>180</v>
      </c>
      <c r="E2">
        <v>9</v>
      </c>
      <c r="F2" t="s">
        <v>24</v>
      </c>
    </row>
    <row r="3" spans="1:6" x14ac:dyDescent="0.25">
      <c r="A3" t="s">
        <v>6</v>
      </c>
      <c r="B3" t="s">
        <v>17</v>
      </c>
      <c r="C3" t="s">
        <v>18</v>
      </c>
      <c r="D3">
        <v>110</v>
      </c>
      <c r="E3">
        <v>7.5</v>
      </c>
      <c r="F3" t="s">
        <v>24</v>
      </c>
    </row>
    <row r="4" spans="1:6" x14ac:dyDescent="0.25">
      <c r="A4" t="s">
        <v>7</v>
      </c>
      <c r="B4" t="s">
        <v>19</v>
      </c>
      <c r="C4" t="s">
        <v>20</v>
      </c>
      <c r="D4">
        <v>180</v>
      </c>
      <c r="E4">
        <v>8.8000000000000007</v>
      </c>
      <c r="F4" t="s">
        <v>24</v>
      </c>
    </row>
    <row r="5" spans="1:6" x14ac:dyDescent="0.25">
      <c r="A5" t="s">
        <v>8</v>
      </c>
      <c r="B5" t="s">
        <v>21</v>
      </c>
      <c r="C5" t="s">
        <v>22</v>
      </c>
      <c r="D5">
        <v>100</v>
      </c>
      <c r="E5">
        <v>8.1999999999999993</v>
      </c>
      <c r="F5" t="s">
        <v>24</v>
      </c>
    </row>
    <row r="6" spans="1:6" x14ac:dyDescent="0.25">
      <c r="A6" t="s">
        <v>9</v>
      </c>
      <c r="B6" t="s">
        <v>115</v>
      </c>
      <c r="C6" t="s">
        <v>16</v>
      </c>
      <c r="D6">
        <v>164</v>
      </c>
      <c r="E6">
        <v>7.9</v>
      </c>
      <c r="F6" t="s">
        <v>25</v>
      </c>
    </row>
    <row r="7" spans="1:6" x14ac:dyDescent="0.25">
      <c r="A7" t="s">
        <v>10</v>
      </c>
      <c r="B7" t="s">
        <v>26</v>
      </c>
      <c r="C7" t="s">
        <v>16</v>
      </c>
      <c r="D7">
        <v>146</v>
      </c>
      <c r="E7">
        <v>7.2</v>
      </c>
      <c r="F7" t="s">
        <v>27</v>
      </c>
    </row>
    <row r="8" spans="1:6" x14ac:dyDescent="0.25">
      <c r="A8" t="s">
        <v>11</v>
      </c>
      <c r="B8" t="s">
        <v>28</v>
      </c>
      <c r="C8" t="s">
        <v>16</v>
      </c>
      <c r="D8">
        <v>169</v>
      </c>
      <c r="E8">
        <v>7.8</v>
      </c>
      <c r="F8" t="s">
        <v>27</v>
      </c>
    </row>
    <row r="9" spans="1:6" x14ac:dyDescent="0.25">
      <c r="A9" t="s">
        <v>12</v>
      </c>
      <c r="B9" t="s">
        <v>29</v>
      </c>
      <c r="C9" t="s">
        <v>18</v>
      </c>
      <c r="D9">
        <v>171</v>
      </c>
      <c r="E9">
        <v>8.4</v>
      </c>
      <c r="F9" t="s">
        <v>27</v>
      </c>
    </row>
    <row r="10" spans="1:6" x14ac:dyDescent="0.25">
      <c r="A10" t="s">
        <v>13</v>
      </c>
      <c r="B10" t="s">
        <v>30</v>
      </c>
      <c r="C10" t="s">
        <v>31</v>
      </c>
      <c r="D10">
        <v>155</v>
      </c>
      <c r="E10">
        <v>8.3000000000000007</v>
      </c>
      <c r="F10" t="s">
        <v>27</v>
      </c>
    </row>
    <row r="11" spans="1:6" x14ac:dyDescent="0.25">
      <c r="A11" t="s">
        <v>14</v>
      </c>
      <c r="B11" t="s">
        <v>83</v>
      </c>
      <c r="C11" t="s">
        <v>84</v>
      </c>
      <c r="D11">
        <v>147</v>
      </c>
      <c r="E11">
        <v>8.4</v>
      </c>
      <c r="F11"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27"/>
  <sheetViews>
    <sheetView topLeftCell="C1" zoomScale="70" zoomScaleNormal="70" workbookViewId="0">
      <selection activeCell="I23" sqref="I23"/>
    </sheetView>
  </sheetViews>
  <sheetFormatPr defaultRowHeight="15" x14ac:dyDescent="0.25"/>
  <cols>
    <col min="1" max="1" width="24.85546875" customWidth="1"/>
    <col min="2" max="2" width="17.7109375" customWidth="1"/>
    <col min="3" max="3" width="20" customWidth="1"/>
    <col min="4" max="4" width="17.85546875" customWidth="1"/>
    <col min="5" max="5" width="17.7109375" bestFit="1" customWidth="1"/>
    <col min="6" max="6" width="6.42578125" customWidth="1"/>
    <col min="7" max="7" width="17.85546875" customWidth="1"/>
    <col min="8" max="8" width="17.7109375" customWidth="1"/>
    <col min="9" max="9" width="13.28515625" customWidth="1"/>
    <col min="10" max="10" width="31.7109375" customWidth="1"/>
    <col min="11" max="11" width="21.7109375" customWidth="1"/>
    <col min="12" max="12" width="10.7109375" customWidth="1"/>
    <col min="13" max="13" width="8.85546875" customWidth="1"/>
    <col min="14" max="14" width="20" customWidth="1"/>
    <col min="15" max="15" width="10.7109375" customWidth="1"/>
    <col min="16" max="16" width="8.85546875" customWidth="1"/>
    <col min="17" max="17" width="24.28515625" bestFit="1" customWidth="1"/>
    <col min="18" max="18" width="26.7109375" bestFit="1" customWidth="1"/>
    <col min="19" max="19" width="10.7109375" customWidth="1"/>
    <col min="20" max="21" width="8.85546875" customWidth="1"/>
    <col min="22" max="22" width="9.5703125" customWidth="1"/>
    <col min="23" max="23" width="24.28515625" bestFit="1" customWidth="1"/>
    <col min="24" max="24" width="26.7109375" bestFit="1" customWidth="1"/>
  </cols>
  <sheetData>
    <row r="3" spans="1:18" x14ac:dyDescent="0.25">
      <c r="A3" s="13" t="s">
        <v>111</v>
      </c>
      <c r="B3" t="s">
        <v>113</v>
      </c>
      <c r="C3" t="s">
        <v>118</v>
      </c>
      <c r="G3" s="13" t="s">
        <v>111</v>
      </c>
      <c r="H3" t="s">
        <v>113</v>
      </c>
      <c r="K3" s="13" t="s">
        <v>133</v>
      </c>
    </row>
    <row r="4" spans="1:18" x14ac:dyDescent="0.25">
      <c r="A4" s="14" t="s">
        <v>29</v>
      </c>
      <c r="B4" s="15">
        <v>8.4</v>
      </c>
      <c r="C4" s="15">
        <v>171</v>
      </c>
      <c r="G4" s="14">
        <v>146</v>
      </c>
      <c r="H4" s="15">
        <v>7.2</v>
      </c>
      <c r="K4" t="s">
        <v>113</v>
      </c>
      <c r="N4" t="s">
        <v>118</v>
      </c>
      <c r="Q4" t="s">
        <v>134</v>
      </c>
      <c r="R4" t="s">
        <v>135</v>
      </c>
    </row>
    <row r="5" spans="1:18" x14ac:dyDescent="0.25">
      <c r="A5" s="14" t="s">
        <v>28</v>
      </c>
      <c r="B5" s="15">
        <v>7.8</v>
      </c>
      <c r="C5" s="15">
        <v>169</v>
      </c>
      <c r="G5" s="14">
        <v>155</v>
      </c>
      <c r="H5" s="15">
        <v>8.3000000000000007</v>
      </c>
      <c r="J5" s="13" t="s">
        <v>111</v>
      </c>
      <c r="K5" t="s">
        <v>16</v>
      </c>
      <c r="L5" t="s">
        <v>18</v>
      </c>
      <c r="M5" t="s">
        <v>31</v>
      </c>
      <c r="N5" t="s">
        <v>16</v>
      </c>
      <c r="O5" t="s">
        <v>18</v>
      </c>
      <c r="P5" t="s">
        <v>31</v>
      </c>
    </row>
    <row r="6" spans="1:18" x14ac:dyDescent="0.25">
      <c r="A6" s="14" t="s">
        <v>26</v>
      </c>
      <c r="B6" s="15">
        <v>7.2</v>
      </c>
      <c r="C6" s="15">
        <v>146</v>
      </c>
      <c r="G6" s="14">
        <v>169</v>
      </c>
      <c r="H6" s="15">
        <v>7.8</v>
      </c>
      <c r="J6" s="14" t="s">
        <v>29</v>
      </c>
      <c r="K6" s="15"/>
      <c r="L6" s="15">
        <v>8.4</v>
      </c>
      <c r="M6" s="15"/>
      <c r="N6" s="15"/>
      <c r="O6" s="15">
        <v>171</v>
      </c>
      <c r="P6" s="15"/>
      <c r="Q6" s="15">
        <v>8.4</v>
      </c>
      <c r="R6" s="15">
        <v>171</v>
      </c>
    </row>
    <row r="7" spans="1:18" x14ac:dyDescent="0.25">
      <c r="A7" s="14" t="s">
        <v>30</v>
      </c>
      <c r="B7" s="15">
        <v>8.3000000000000007</v>
      </c>
      <c r="C7" s="15">
        <v>155</v>
      </c>
      <c r="G7" s="14">
        <v>171</v>
      </c>
      <c r="H7" s="15">
        <v>8.4</v>
      </c>
      <c r="J7" s="16" t="s">
        <v>27</v>
      </c>
      <c r="K7" s="15"/>
      <c r="L7" s="15">
        <v>8.4</v>
      </c>
      <c r="M7" s="15"/>
      <c r="N7" s="15"/>
      <c r="O7" s="15">
        <v>171</v>
      </c>
      <c r="P7" s="15"/>
      <c r="Q7" s="15">
        <v>8.4</v>
      </c>
      <c r="R7" s="15">
        <v>171</v>
      </c>
    </row>
    <row r="8" spans="1:18" x14ac:dyDescent="0.25">
      <c r="A8" s="14" t="s">
        <v>112</v>
      </c>
      <c r="B8" s="15">
        <v>31.7</v>
      </c>
      <c r="C8" s="15">
        <v>641</v>
      </c>
      <c r="G8" s="14" t="s">
        <v>112</v>
      </c>
      <c r="H8" s="15">
        <v>31.700000000000003</v>
      </c>
      <c r="J8" s="14" t="s">
        <v>28</v>
      </c>
      <c r="K8" s="15">
        <v>7.8</v>
      </c>
      <c r="L8" s="15"/>
      <c r="M8" s="15"/>
      <c r="N8" s="15">
        <v>169</v>
      </c>
      <c r="O8" s="15"/>
      <c r="P8" s="15"/>
      <c r="Q8" s="15">
        <v>7.8</v>
      </c>
      <c r="R8" s="15">
        <v>169</v>
      </c>
    </row>
    <row r="9" spans="1:18" x14ac:dyDescent="0.25">
      <c r="J9" s="16" t="s">
        <v>27</v>
      </c>
      <c r="K9" s="15">
        <v>7.8</v>
      </c>
      <c r="L9" s="15"/>
      <c r="M9" s="15"/>
      <c r="N9" s="15">
        <v>169</v>
      </c>
      <c r="O9" s="15"/>
      <c r="P9" s="15"/>
      <c r="Q9" s="15">
        <v>7.8</v>
      </c>
      <c r="R9" s="15">
        <v>169</v>
      </c>
    </row>
    <row r="10" spans="1:18" x14ac:dyDescent="0.25">
      <c r="J10" s="14" t="s">
        <v>26</v>
      </c>
      <c r="K10" s="15">
        <v>7.2</v>
      </c>
      <c r="L10" s="15"/>
      <c r="M10" s="15"/>
      <c r="N10" s="15">
        <v>146</v>
      </c>
      <c r="O10" s="15"/>
      <c r="P10" s="15"/>
      <c r="Q10" s="15">
        <v>7.2</v>
      </c>
      <c r="R10" s="15">
        <v>146</v>
      </c>
    </row>
    <row r="11" spans="1:18" x14ac:dyDescent="0.25">
      <c r="J11" s="16" t="s">
        <v>27</v>
      </c>
      <c r="K11" s="15">
        <v>7.2</v>
      </c>
      <c r="L11" s="15"/>
      <c r="M11" s="15"/>
      <c r="N11" s="15">
        <v>146</v>
      </c>
      <c r="O11" s="15"/>
      <c r="P11" s="15"/>
      <c r="Q11" s="15">
        <v>7.2</v>
      </c>
      <c r="R11" s="15">
        <v>146</v>
      </c>
    </row>
    <row r="12" spans="1:18" x14ac:dyDescent="0.25">
      <c r="J12" s="14" t="s">
        <v>30</v>
      </c>
      <c r="K12" s="15"/>
      <c r="L12" s="15"/>
      <c r="M12" s="15">
        <v>8.3000000000000007</v>
      </c>
      <c r="N12" s="15"/>
      <c r="O12" s="15"/>
      <c r="P12" s="15">
        <v>155</v>
      </c>
      <c r="Q12" s="15">
        <v>8.3000000000000007</v>
      </c>
      <c r="R12" s="15">
        <v>155</v>
      </c>
    </row>
    <row r="13" spans="1:18" x14ac:dyDescent="0.25">
      <c r="J13" s="16" t="s">
        <v>27</v>
      </c>
      <c r="K13" s="15"/>
      <c r="L13" s="15"/>
      <c r="M13" s="15">
        <v>8.3000000000000007</v>
      </c>
      <c r="N13" s="15"/>
      <c r="O13" s="15"/>
      <c r="P13" s="15">
        <v>155</v>
      </c>
      <c r="Q13" s="15">
        <v>8.3000000000000007</v>
      </c>
      <c r="R13" s="15">
        <v>155</v>
      </c>
    </row>
    <row r="14" spans="1:18" x14ac:dyDescent="0.25">
      <c r="J14" s="14" t="s">
        <v>112</v>
      </c>
      <c r="K14" s="15">
        <v>15</v>
      </c>
      <c r="L14" s="15">
        <v>8.4</v>
      </c>
      <c r="M14" s="15">
        <v>8.3000000000000007</v>
      </c>
      <c r="N14" s="15">
        <v>315</v>
      </c>
      <c r="O14" s="15">
        <v>171</v>
      </c>
      <c r="P14" s="15">
        <v>155</v>
      </c>
      <c r="Q14" s="15">
        <v>31.7</v>
      </c>
      <c r="R14" s="15">
        <v>641</v>
      </c>
    </row>
    <row r="17" spans="1:8" x14ac:dyDescent="0.25">
      <c r="A17" s="13" t="s">
        <v>111</v>
      </c>
      <c r="B17" t="s">
        <v>113</v>
      </c>
      <c r="D17" s="13" t="s">
        <v>111</v>
      </c>
      <c r="E17" t="s">
        <v>113</v>
      </c>
      <c r="G17" s="14"/>
      <c r="H17" s="15"/>
    </row>
    <row r="18" spans="1:8" x14ac:dyDescent="0.25">
      <c r="A18" s="14" t="s">
        <v>16</v>
      </c>
      <c r="B18" s="15">
        <v>15</v>
      </c>
      <c r="D18" s="14" t="s">
        <v>27</v>
      </c>
      <c r="E18" s="15">
        <v>31.700000000000003</v>
      </c>
      <c r="G18" s="14"/>
      <c r="H18" s="15"/>
    </row>
    <row r="19" spans="1:8" x14ac:dyDescent="0.25">
      <c r="A19" s="14" t="s">
        <v>18</v>
      </c>
      <c r="B19" s="15">
        <v>8.4</v>
      </c>
      <c r="D19" s="14" t="s">
        <v>112</v>
      </c>
      <c r="E19" s="15">
        <v>31.700000000000003</v>
      </c>
      <c r="G19" s="14"/>
      <c r="H19" s="15"/>
    </row>
    <row r="20" spans="1:8" x14ac:dyDescent="0.25">
      <c r="A20" s="14" t="s">
        <v>31</v>
      </c>
      <c r="B20" s="15">
        <v>8.3000000000000007</v>
      </c>
      <c r="G20" s="14"/>
      <c r="H20" s="15"/>
    </row>
    <row r="21" spans="1:8" x14ac:dyDescent="0.25">
      <c r="A21" s="14" t="s">
        <v>112</v>
      </c>
      <c r="B21" s="15">
        <v>31.7</v>
      </c>
      <c r="G21" s="14"/>
      <c r="H21" s="15"/>
    </row>
    <row r="22" spans="1:8" x14ac:dyDescent="0.25">
      <c r="G22" s="14"/>
      <c r="H22" s="15"/>
    </row>
    <row r="23" spans="1:8" x14ac:dyDescent="0.25">
      <c r="G23" s="14"/>
      <c r="H23" s="15"/>
    </row>
    <row r="24" spans="1:8" x14ac:dyDescent="0.25">
      <c r="G24" s="14"/>
      <c r="H24" s="15"/>
    </row>
    <row r="25" spans="1:8" x14ac:dyDescent="0.25">
      <c r="G25" s="14"/>
      <c r="H25" s="15"/>
    </row>
    <row r="26" spans="1:8" x14ac:dyDescent="0.25">
      <c r="G26" s="14"/>
      <c r="H26" s="15"/>
    </row>
    <row r="27" spans="1:8" x14ac:dyDescent="0.25">
      <c r="G27" s="14"/>
      <c r="H27"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60" zoomScaleNormal="60" workbookViewId="0">
      <selection activeCell="Y26" sqref="Y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I20" sqref="I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J17" sqref="J17"/>
    </sheetView>
  </sheetViews>
  <sheetFormatPr defaultRowHeight="15" x14ac:dyDescent="0.25"/>
  <cols>
    <col min="1" max="1" width="11.85546875" customWidth="1"/>
    <col min="2" max="2" width="16.28515625" customWidth="1"/>
    <col min="5" max="5" width="10.5703125" customWidth="1"/>
    <col min="6" max="6" width="10" customWidth="1"/>
  </cols>
  <sheetData>
    <row r="1" spans="1:8" x14ac:dyDescent="0.25">
      <c r="A1" t="s">
        <v>69</v>
      </c>
      <c r="B1" t="s">
        <v>32</v>
      </c>
      <c r="C1" t="s">
        <v>33</v>
      </c>
      <c r="D1" t="s">
        <v>68</v>
      </c>
      <c r="E1" t="s">
        <v>34</v>
      </c>
      <c r="F1" t="s">
        <v>35</v>
      </c>
      <c r="G1" t="s">
        <v>36</v>
      </c>
      <c r="H1" t="s">
        <v>4</v>
      </c>
    </row>
    <row r="2" spans="1:8" x14ac:dyDescent="0.25">
      <c r="A2" t="s">
        <v>37</v>
      </c>
      <c r="B2" t="s">
        <v>47</v>
      </c>
      <c r="C2" t="s">
        <v>48</v>
      </c>
      <c r="D2" t="s">
        <v>49</v>
      </c>
      <c r="E2">
        <v>320</v>
      </c>
      <c r="F2">
        <v>5</v>
      </c>
      <c r="G2" t="s">
        <v>50</v>
      </c>
      <c r="H2">
        <v>4.7</v>
      </c>
    </row>
    <row r="3" spans="1:8" x14ac:dyDescent="0.25">
      <c r="A3" t="s">
        <v>38</v>
      </c>
      <c r="B3" t="s">
        <v>51</v>
      </c>
      <c r="C3" t="s">
        <v>52</v>
      </c>
      <c r="D3" t="s">
        <v>49</v>
      </c>
      <c r="E3">
        <v>280</v>
      </c>
      <c r="F3">
        <v>4</v>
      </c>
      <c r="G3" t="s">
        <v>50</v>
      </c>
      <c r="H3">
        <v>4.5999999999999996</v>
      </c>
    </row>
    <row r="4" spans="1:8" x14ac:dyDescent="0.25">
      <c r="A4" t="s">
        <v>39</v>
      </c>
      <c r="B4" t="s">
        <v>53</v>
      </c>
      <c r="C4" t="s">
        <v>54</v>
      </c>
      <c r="D4" t="s">
        <v>49</v>
      </c>
      <c r="E4">
        <v>300</v>
      </c>
      <c r="F4">
        <v>6</v>
      </c>
      <c r="G4" t="s">
        <v>50</v>
      </c>
      <c r="H4">
        <v>4.8</v>
      </c>
    </row>
    <row r="5" spans="1:8" x14ac:dyDescent="0.25">
      <c r="A5" t="s">
        <v>40</v>
      </c>
      <c r="B5" t="s">
        <v>55</v>
      </c>
      <c r="C5" t="s">
        <v>56</v>
      </c>
      <c r="D5" t="s">
        <v>49</v>
      </c>
      <c r="E5">
        <v>250</v>
      </c>
      <c r="F5">
        <v>3</v>
      </c>
      <c r="G5" t="s">
        <v>50</v>
      </c>
      <c r="H5">
        <v>4.4000000000000004</v>
      </c>
    </row>
    <row r="6" spans="1:8" x14ac:dyDescent="0.25">
      <c r="A6" t="s">
        <v>41</v>
      </c>
      <c r="B6" t="s">
        <v>57</v>
      </c>
      <c r="C6" t="s">
        <v>48</v>
      </c>
      <c r="D6" t="s">
        <v>49</v>
      </c>
      <c r="E6">
        <v>270</v>
      </c>
      <c r="F6">
        <v>2</v>
      </c>
      <c r="G6" t="s">
        <v>50</v>
      </c>
      <c r="H6">
        <v>3.2</v>
      </c>
    </row>
    <row r="7" spans="1:8" x14ac:dyDescent="0.25">
      <c r="A7" t="s">
        <v>42</v>
      </c>
      <c r="B7" t="s">
        <v>58</v>
      </c>
      <c r="C7" t="s">
        <v>59</v>
      </c>
      <c r="D7" t="s">
        <v>49</v>
      </c>
      <c r="E7">
        <v>300</v>
      </c>
      <c r="F7">
        <v>5</v>
      </c>
      <c r="G7" t="s">
        <v>50</v>
      </c>
      <c r="H7">
        <v>4.7</v>
      </c>
    </row>
    <row r="8" spans="1:8" x14ac:dyDescent="0.25">
      <c r="A8" t="s">
        <v>43</v>
      </c>
      <c r="B8" t="s">
        <v>60</v>
      </c>
      <c r="C8" t="s">
        <v>61</v>
      </c>
      <c r="D8" t="s">
        <v>49</v>
      </c>
      <c r="E8">
        <v>290</v>
      </c>
      <c r="F8">
        <v>4</v>
      </c>
      <c r="G8" t="s">
        <v>50</v>
      </c>
      <c r="H8">
        <v>4.5</v>
      </c>
    </row>
    <row r="9" spans="1:8" x14ac:dyDescent="0.25">
      <c r="A9" t="s">
        <v>44</v>
      </c>
      <c r="B9" t="s">
        <v>62</v>
      </c>
      <c r="C9" t="s">
        <v>63</v>
      </c>
      <c r="D9" t="s">
        <v>49</v>
      </c>
      <c r="E9">
        <v>320</v>
      </c>
      <c r="F9">
        <v>6</v>
      </c>
      <c r="G9" t="s">
        <v>50</v>
      </c>
      <c r="H9">
        <v>4.5</v>
      </c>
    </row>
    <row r="10" spans="1:8" x14ac:dyDescent="0.25">
      <c r="A10" t="s">
        <v>45</v>
      </c>
      <c r="B10" t="s">
        <v>64</v>
      </c>
      <c r="C10" t="s">
        <v>61</v>
      </c>
      <c r="D10" t="s">
        <v>49</v>
      </c>
      <c r="E10">
        <v>280</v>
      </c>
      <c r="F10">
        <v>3</v>
      </c>
      <c r="G10" t="s">
        <v>65</v>
      </c>
      <c r="H10">
        <v>4.9000000000000004</v>
      </c>
    </row>
    <row r="11" spans="1:8" x14ac:dyDescent="0.25">
      <c r="A11" t="s">
        <v>46</v>
      </c>
      <c r="B11" t="s">
        <v>66</v>
      </c>
      <c r="C11" t="s">
        <v>52</v>
      </c>
      <c r="D11" t="s">
        <v>49</v>
      </c>
      <c r="E11">
        <v>200</v>
      </c>
      <c r="F11">
        <v>2</v>
      </c>
      <c r="G11" t="s">
        <v>67</v>
      </c>
      <c r="H11">
        <v>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8"/>
  <sheetViews>
    <sheetView workbookViewId="0">
      <selection activeCell="E2" sqref="E2:G10"/>
    </sheetView>
  </sheetViews>
  <sheetFormatPr defaultRowHeight="15" x14ac:dyDescent="0.25"/>
  <cols>
    <col min="1" max="1" width="13.140625" customWidth="1"/>
    <col min="2" max="2" width="14.5703125" customWidth="1"/>
    <col min="3" max="3" width="15.140625" bestFit="1" customWidth="1"/>
    <col min="4" max="5" width="13.140625" customWidth="1"/>
    <col min="6" max="6" width="13.42578125" bestFit="1" customWidth="1"/>
    <col min="7" max="8" width="13.28515625" customWidth="1"/>
    <col min="10" max="10" width="13.140625" customWidth="1"/>
    <col min="11" max="11" width="13.42578125" customWidth="1"/>
    <col min="12" max="12" width="13.28515625" customWidth="1"/>
    <col min="13" max="13" width="12.42578125" customWidth="1"/>
    <col min="14" max="19" width="16.28515625" bestFit="1" customWidth="1"/>
    <col min="20" max="20" width="11.28515625" bestFit="1" customWidth="1"/>
  </cols>
  <sheetData>
    <row r="2" spans="1:8" x14ac:dyDescent="0.25">
      <c r="A2" s="13" t="s">
        <v>111</v>
      </c>
      <c r="B2" t="s">
        <v>116</v>
      </c>
      <c r="C2" t="s">
        <v>114</v>
      </c>
      <c r="E2" s="13" t="s">
        <v>111</v>
      </c>
      <c r="F2" t="s">
        <v>117</v>
      </c>
      <c r="G2" t="s">
        <v>113</v>
      </c>
    </row>
    <row r="3" spans="1:8" x14ac:dyDescent="0.25">
      <c r="A3" s="14" t="s">
        <v>57</v>
      </c>
      <c r="B3" s="15">
        <v>2</v>
      </c>
      <c r="C3" s="15">
        <v>270</v>
      </c>
      <c r="E3" s="14" t="s">
        <v>48</v>
      </c>
      <c r="F3" s="15">
        <v>1</v>
      </c>
      <c r="G3" s="15">
        <v>3.2</v>
      </c>
    </row>
    <row r="4" spans="1:8" x14ac:dyDescent="0.25">
      <c r="A4" s="14" t="s">
        <v>112</v>
      </c>
      <c r="B4" s="15">
        <v>2</v>
      </c>
      <c r="C4" s="15">
        <v>270</v>
      </c>
      <c r="D4" s="14"/>
      <c r="E4" s="14" t="s">
        <v>112</v>
      </c>
      <c r="F4" s="15">
        <v>1</v>
      </c>
      <c r="G4" s="15">
        <v>3.2</v>
      </c>
      <c r="H4" s="15"/>
    </row>
    <row r="5" spans="1:8" x14ac:dyDescent="0.25">
      <c r="D5" s="14"/>
      <c r="H5" s="15"/>
    </row>
    <row r="6" spans="1:8" x14ac:dyDescent="0.25">
      <c r="D6" s="14"/>
      <c r="H6" s="15"/>
    </row>
    <row r="7" spans="1:8" x14ac:dyDescent="0.25">
      <c r="D7" s="14"/>
      <c r="H7" s="15"/>
    </row>
    <row r="8" spans="1:8" x14ac:dyDescent="0.25">
      <c r="D8" s="14"/>
      <c r="H8" s="15"/>
    </row>
    <row r="9" spans="1:8" x14ac:dyDescent="0.25">
      <c r="D9" s="14"/>
      <c r="H9" s="15"/>
    </row>
    <row r="10" spans="1:8" x14ac:dyDescent="0.25">
      <c r="D10" s="14"/>
      <c r="H10" s="15"/>
    </row>
    <row r="11" spans="1:8" x14ac:dyDescent="0.25">
      <c r="D11" s="14"/>
      <c r="E11" s="15"/>
      <c r="G11" s="14"/>
      <c r="H11" s="15"/>
    </row>
    <row r="12" spans="1:8" x14ac:dyDescent="0.25">
      <c r="D12" s="14"/>
      <c r="E12" s="15"/>
      <c r="G12" s="14"/>
      <c r="H12" s="15"/>
    </row>
    <row r="13" spans="1:8" x14ac:dyDescent="0.25">
      <c r="D13" s="14"/>
      <c r="E13" s="15"/>
      <c r="G13" s="14"/>
      <c r="H13" s="15"/>
    </row>
    <row r="14" spans="1:8" x14ac:dyDescent="0.25">
      <c r="A14" s="14"/>
      <c r="B14" s="15"/>
      <c r="D14" s="14"/>
      <c r="E14" s="15"/>
      <c r="G14" s="14"/>
      <c r="H14" s="15"/>
    </row>
    <row r="18" spans="1:8" x14ac:dyDescent="0.25">
      <c r="A18" s="14"/>
      <c r="B18" s="15"/>
      <c r="D18" s="14"/>
      <c r="E18" s="15"/>
      <c r="G18" s="14"/>
      <c r="H18" s="15"/>
    </row>
    <row r="19" spans="1:8" x14ac:dyDescent="0.25">
      <c r="A19" s="14"/>
      <c r="B19" s="15"/>
      <c r="D19" s="14"/>
      <c r="E19" s="15"/>
      <c r="G19" s="14"/>
      <c r="H19" s="15"/>
    </row>
    <row r="20" spans="1:8" x14ac:dyDescent="0.25">
      <c r="A20" s="14"/>
      <c r="B20" s="15"/>
      <c r="D20" s="14"/>
      <c r="E20" s="15"/>
      <c r="G20" s="14"/>
      <c r="H20" s="15"/>
    </row>
    <row r="21" spans="1:8" x14ac:dyDescent="0.25">
      <c r="A21" s="14"/>
      <c r="B21" s="15"/>
      <c r="D21" s="14"/>
      <c r="E21" s="15"/>
      <c r="G21" s="14"/>
      <c r="H21" s="15"/>
    </row>
    <row r="22" spans="1:8" x14ac:dyDescent="0.25">
      <c r="A22" s="14"/>
      <c r="B22" s="15"/>
      <c r="D22" s="14"/>
      <c r="E22" s="15"/>
      <c r="G22" s="14"/>
      <c r="H22" s="15"/>
    </row>
    <row r="23" spans="1:8" x14ac:dyDescent="0.25">
      <c r="A23" s="14"/>
      <c r="B23" s="15"/>
      <c r="D23" s="14"/>
      <c r="E23" s="15"/>
      <c r="G23" s="14"/>
      <c r="H23" s="15"/>
    </row>
    <row r="24" spans="1:8" x14ac:dyDescent="0.25">
      <c r="A24" s="14"/>
      <c r="B24" s="15"/>
      <c r="D24" s="14"/>
      <c r="E24" s="15"/>
      <c r="G24" s="14"/>
      <c r="H24" s="15"/>
    </row>
    <row r="25" spans="1:8" x14ac:dyDescent="0.25">
      <c r="A25" s="14"/>
      <c r="B25" s="15"/>
      <c r="D25" s="14"/>
      <c r="E25" s="15"/>
      <c r="G25" s="14"/>
      <c r="H25" s="15"/>
    </row>
    <row r="26" spans="1:8" x14ac:dyDescent="0.25">
      <c r="A26" s="14"/>
      <c r="B26" s="15"/>
      <c r="D26" s="14"/>
      <c r="E26" s="15"/>
      <c r="G26" s="14"/>
      <c r="H26" s="15"/>
    </row>
    <row r="27" spans="1:8" x14ac:dyDescent="0.25">
      <c r="A27" s="14"/>
      <c r="B27" s="15"/>
      <c r="D27" s="14"/>
      <c r="E27" s="15"/>
      <c r="G27" s="14"/>
      <c r="H27" s="15"/>
    </row>
    <row r="28" spans="1:8" x14ac:dyDescent="0.25">
      <c r="A28" s="14"/>
      <c r="B28" s="15"/>
      <c r="D28" s="14"/>
      <c r="E28" s="15"/>
      <c r="G28" s="14"/>
      <c r="H28"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K14" sqref="K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sqref="A1:E11"/>
    </sheetView>
  </sheetViews>
  <sheetFormatPr defaultRowHeight="15" x14ac:dyDescent="0.25"/>
  <cols>
    <col min="1" max="1" width="10.85546875" customWidth="1"/>
    <col min="2" max="2" width="11.7109375" customWidth="1"/>
    <col min="3" max="3" width="12.85546875" customWidth="1"/>
    <col min="4" max="4" width="13.140625" customWidth="1"/>
    <col min="5" max="5" width="13.42578125" customWidth="1"/>
  </cols>
  <sheetData>
    <row r="1" spans="1:5" x14ac:dyDescent="0.25">
      <c r="A1" s="2" t="s">
        <v>70</v>
      </c>
      <c r="B1" s="3" t="s">
        <v>0</v>
      </c>
      <c r="C1" s="3" t="s">
        <v>69</v>
      </c>
      <c r="D1" s="3" t="s">
        <v>71</v>
      </c>
      <c r="E1" s="4" t="s">
        <v>72</v>
      </c>
    </row>
    <row r="2" spans="1:5" x14ac:dyDescent="0.25">
      <c r="A2" s="5" t="s">
        <v>73</v>
      </c>
      <c r="B2" s="6" t="str">
        <f>Movies[[#This Row],[Movie_ID]]</f>
        <v>M101</v>
      </c>
      <c r="C2" s="6" t="str">
        <f>Theater[[#This Row],[Theater_ID]]</f>
        <v>T01</v>
      </c>
      <c r="D2" s="7">
        <v>45960</v>
      </c>
      <c r="E2" s="8">
        <v>0.75</v>
      </c>
    </row>
    <row r="3" spans="1:5" x14ac:dyDescent="0.25">
      <c r="A3" s="5" t="s">
        <v>74</v>
      </c>
      <c r="B3" s="6" t="str">
        <f>Movies[[#This Row],[Movie_ID]]</f>
        <v>M102</v>
      </c>
      <c r="C3" s="6" t="str">
        <f>Theater[[#This Row],[Theater_ID]]</f>
        <v>T02</v>
      </c>
      <c r="D3" s="7">
        <v>45961</v>
      </c>
      <c r="E3" s="8">
        <v>0.875</v>
      </c>
    </row>
    <row r="4" spans="1:5" x14ac:dyDescent="0.25">
      <c r="A4" s="5" t="s">
        <v>75</v>
      </c>
      <c r="B4" s="6" t="str">
        <f>Movies[[#This Row],[Movie_ID]]</f>
        <v>M103</v>
      </c>
      <c r="C4" s="6" t="str">
        <f>Theater[[#This Row],[Theater_ID]]</f>
        <v>T03</v>
      </c>
      <c r="D4" s="7">
        <v>45962</v>
      </c>
      <c r="E4" s="8">
        <v>0.70833333333333337</v>
      </c>
    </row>
    <row r="5" spans="1:5" x14ac:dyDescent="0.25">
      <c r="A5" s="5" t="s">
        <v>76</v>
      </c>
      <c r="B5" s="6" t="str">
        <f>Movies[[#This Row],[Movie_ID]]</f>
        <v>M104</v>
      </c>
      <c r="C5" s="6" t="str">
        <f>Theater[[#This Row],[Theater_ID]]</f>
        <v>T04</v>
      </c>
      <c r="D5" s="7">
        <v>45963</v>
      </c>
      <c r="E5" s="8">
        <v>0.4375</v>
      </c>
    </row>
    <row r="6" spans="1:5" x14ac:dyDescent="0.25">
      <c r="A6" s="5" t="s">
        <v>77</v>
      </c>
      <c r="B6" s="6" t="str">
        <f>Movies[[#This Row],[Movie_ID]]</f>
        <v>M105</v>
      </c>
      <c r="C6" s="6" t="str">
        <f>Theater[[#This Row],[Theater_ID]]</f>
        <v>T05</v>
      </c>
      <c r="D6" s="7">
        <v>45964</v>
      </c>
      <c r="E6" s="8">
        <v>0.83333333333333337</v>
      </c>
    </row>
    <row r="7" spans="1:5" x14ac:dyDescent="0.25">
      <c r="A7" s="5" t="s">
        <v>78</v>
      </c>
      <c r="B7" s="6" t="str">
        <f>Movies[[#This Row],[Movie_ID]]</f>
        <v>M106</v>
      </c>
      <c r="C7" s="6" t="str">
        <f>Theater[[#This Row],[Theater_ID]]</f>
        <v>T06</v>
      </c>
      <c r="D7" s="7">
        <v>45965</v>
      </c>
      <c r="E7" s="8">
        <v>0.45833333333333331</v>
      </c>
    </row>
    <row r="8" spans="1:5" x14ac:dyDescent="0.25">
      <c r="A8" s="5" t="s">
        <v>79</v>
      </c>
      <c r="B8" s="6" t="str">
        <f>Movies[[#This Row],[Movie_ID]]</f>
        <v>M107</v>
      </c>
      <c r="C8" s="6" t="str">
        <f>Theater[[#This Row],[Theater_ID]]</f>
        <v>T07</v>
      </c>
      <c r="D8" s="7">
        <v>45966</v>
      </c>
      <c r="E8" s="8">
        <v>0.83333333333333337</v>
      </c>
    </row>
    <row r="9" spans="1:5" x14ac:dyDescent="0.25">
      <c r="A9" s="5" t="s">
        <v>80</v>
      </c>
      <c r="B9" s="6" t="str">
        <f>Movies[[#This Row],[Movie_ID]]</f>
        <v>M108</v>
      </c>
      <c r="C9" s="6" t="str">
        <f>Theater[[#This Row],[Theater_ID]]</f>
        <v>T08</v>
      </c>
      <c r="D9" s="7">
        <v>45967</v>
      </c>
      <c r="E9" s="8">
        <v>0.75</v>
      </c>
    </row>
    <row r="10" spans="1:5" x14ac:dyDescent="0.25">
      <c r="A10" s="5" t="s">
        <v>81</v>
      </c>
      <c r="B10" s="6" t="str">
        <f>Movies[[#This Row],[Movie_ID]]</f>
        <v>M109</v>
      </c>
      <c r="C10" s="6" t="str">
        <f>Theater[[#This Row],[Theater_ID]]</f>
        <v>T09</v>
      </c>
      <c r="D10" s="7">
        <v>45968</v>
      </c>
      <c r="E10" s="8">
        <v>0.83333333333333337</v>
      </c>
    </row>
    <row r="11" spans="1:5" x14ac:dyDescent="0.25">
      <c r="A11" s="9" t="s">
        <v>82</v>
      </c>
      <c r="B11" s="10" t="str">
        <f>Movies[[#This Row],[Movie_ID]]</f>
        <v>M110</v>
      </c>
      <c r="C11" s="10" t="str">
        <f>Theater[[#This Row],[Theater_ID]]</f>
        <v>T10</v>
      </c>
      <c r="D11" s="11">
        <v>45969</v>
      </c>
      <c r="E11" s="12">
        <v>0.83333333333333337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9"/>
  <sheetViews>
    <sheetView workbookViewId="0">
      <selection activeCell="G3" sqref="G3:H6"/>
    </sheetView>
  </sheetViews>
  <sheetFormatPr defaultRowHeight="15" x14ac:dyDescent="0.25"/>
  <cols>
    <col min="1" max="1" width="13.140625" customWidth="1"/>
    <col min="2" max="2" width="19.5703125" customWidth="1"/>
    <col min="4" max="4" width="13.140625" bestFit="1" customWidth="1"/>
    <col min="5" max="5" width="19.5703125" bestFit="1" customWidth="1"/>
    <col min="7" max="7" width="13.140625" customWidth="1"/>
    <col min="8" max="8" width="19.5703125" bestFit="1" customWidth="1"/>
  </cols>
  <sheetData>
    <row r="3" spans="1:8" x14ac:dyDescent="0.25">
      <c r="A3" s="13" t="s">
        <v>111</v>
      </c>
      <c r="B3" t="s">
        <v>119</v>
      </c>
      <c r="D3" s="13" t="s">
        <v>111</v>
      </c>
      <c r="E3" t="s">
        <v>119</v>
      </c>
      <c r="G3" s="13" t="s">
        <v>111</v>
      </c>
      <c r="H3" t="s">
        <v>119</v>
      </c>
    </row>
    <row r="4" spans="1:8" x14ac:dyDescent="0.25">
      <c r="A4" s="14" t="s">
        <v>73</v>
      </c>
      <c r="B4" s="15">
        <v>1</v>
      </c>
      <c r="D4" s="14" t="s">
        <v>5</v>
      </c>
      <c r="E4" s="15">
        <v>1</v>
      </c>
      <c r="G4" s="14" t="s">
        <v>120</v>
      </c>
      <c r="H4" s="15">
        <v>2</v>
      </c>
    </row>
    <row r="5" spans="1:8" x14ac:dyDescent="0.25">
      <c r="A5" s="14" t="s">
        <v>74</v>
      </c>
      <c r="B5" s="15">
        <v>1</v>
      </c>
      <c r="D5" s="14" t="s">
        <v>6</v>
      </c>
      <c r="E5" s="15">
        <v>1</v>
      </c>
      <c r="G5" s="14" t="s">
        <v>136</v>
      </c>
      <c r="H5" s="15">
        <v>8</v>
      </c>
    </row>
    <row r="6" spans="1:8" x14ac:dyDescent="0.25">
      <c r="A6" s="14" t="s">
        <v>75</v>
      </c>
      <c r="B6" s="15">
        <v>1</v>
      </c>
      <c r="D6" s="14" t="s">
        <v>7</v>
      </c>
      <c r="E6" s="15">
        <v>1</v>
      </c>
      <c r="G6" s="14" t="s">
        <v>112</v>
      </c>
      <c r="H6" s="15">
        <v>10</v>
      </c>
    </row>
    <row r="7" spans="1:8" x14ac:dyDescent="0.25">
      <c r="A7" s="14" t="s">
        <v>76</v>
      </c>
      <c r="B7" s="15">
        <v>1</v>
      </c>
      <c r="D7" s="14" t="s">
        <v>8</v>
      </c>
      <c r="E7" s="15">
        <v>1</v>
      </c>
    </row>
    <row r="8" spans="1:8" x14ac:dyDescent="0.25">
      <c r="A8" s="14" t="s">
        <v>77</v>
      </c>
      <c r="B8" s="15">
        <v>1</v>
      </c>
      <c r="D8" s="14" t="s">
        <v>9</v>
      </c>
      <c r="E8" s="15">
        <v>1</v>
      </c>
      <c r="G8" s="13" t="s">
        <v>111</v>
      </c>
      <c r="H8" t="s">
        <v>119</v>
      </c>
    </row>
    <row r="9" spans="1:8" x14ac:dyDescent="0.25">
      <c r="A9" s="14" t="s">
        <v>78</v>
      </c>
      <c r="B9" s="15">
        <v>1</v>
      </c>
      <c r="D9" s="14" t="s">
        <v>10</v>
      </c>
      <c r="E9" s="15">
        <v>1</v>
      </c>
      <c r="G9" s="14" t="s">
        <v>37</v>
      </c>
      <c r="H9" s="15">
        <v>1</v>
      </c>
    </row>
    <row r="10" spans="1:8" x14ac:dyDescent="0.25">
      <c r="A10" s="14" t="s">
        <v>79</v>
      </c>
      <c r="B10" s="15">
        <v>1</v>
      </c>
      <c r="D10" s="14" t="s">
        <v>11</v>
      </c>
      <c r="E10" s="15">
        <v>1</v>
      </c>
      <c r="G10" s="14" t="s">
        <v>38</v>
      </c>
      <c r="H10" s="15">
        <v>1</v>
      </c>
    </row>
    <row r="11" spans="1:8" x14ac:dyDescent="0.25">
      <c r="A11" s="14" t="s">
        <v>80</v>
      </c>
      <c r="B11" s="15">
        <v>1</v>
      </c>
      <c r="D11" s="14" t="s">
        <v>12</v>
      </c>
      <c r="E11" s="15">
        <v>1</v>
      </c>
      <c r="G11" s="14" t="s">
        <v>39</v>
      </c>
      <c r="H11" s="15">
        <v>1</v>
      </c>
    </row>
    <row r="12" spans="1:8" x14ac:dyDescent="0.25">
      <c r="A12" s="14" t="s">
        <v>81</v>
      </c>
      <c r="B12" s="15">
        <v>1</v>
      </c>
      <c r="D12" s="14" t="s">
        <v>13</v>
      </c>
      <c r="E12" s="15">
        <v>1</v>
      </c>
      <c r="G12" s="14" t="s">
        <v>40</v>
      </c>
      <c r="H12" s="15">
        <v>1</v>
      </c>
    </row>
    <row r="13" spans="1:8" x14ac:dyDescent="0.25">
      <c r="A13" s="14" t="s">
        <v>82</v>
      </c>
      <c r="B13" s="15">
        <v>1</v>
      </c>
      <c r="D13" s="14" t="s">
        <v>14</v>
      </c>
      <c r="E13" s="15">
        <v>1</v>
      </c>
      <c r="G13" s="14" t="s">
        <v>41</v>
      </c>
      <c r="H13" s="15">
        <v>1</v>
      </c>
    </row>
    <row r="14" spans="1:8" x14ac:dyDescent="0.25">
      <c r="A14" s="14" t="s">
        <v>112</v>
      </c>
      <c r="B14" s="15">
        <v>10</v>
      </c>
      <c r="D14" s="14" t="s">
        <v>112</v>
      </c>
      <c r="E14" s="15">
        <v>10</v>
      </c>
      <c r="G14" s="14" t="s">
        <v>42</v>
      </c>
      <c r="H14" s="15">
        <v>1</v>
      </c>
    </row>
    <row r="15" spans="1:8" x14ac:dyDescent="0.25">
      <c r="G15" s="14" t="s">
        <v>43</v>
      </c>
      <c r="H15" s="15">
        <v>1</v>
      </c>
    </row>
    <row r="16" spans="1:8" x14ac:dyDescent="0.25">
      <c r="G16" s="14" t="s">
        <v>44</v>
      </c>
      <c r="H16" s="15">
        <v>1</v>
      </c>
    </row>
    <row r="17" spans="7:8" x14ac:dyDescent="0.25">
      <c r="G17" s="14" t="s">
        <v>45</v>
      </c>
      <c r="H17" s="15">
        <v>1</v>
      </c>
    </row>
    <row r="18" spans="7:8" x14ac:dyDescent="0.25">
      <c r="G18" s="14" t="s">
        <v>46</v>
      </c>
      <c r="H18" s="15">
        <v>1</v>
      </c>
    </row>
    <row r="19" spans="7:8" x14ac:dyDescent="0.25">
      <c r="G19" s="14" t="s">
        <v>112</v>
      </c>
      <c r="H19" s="15">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K23" sqref="K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sqref="A1:F11"/>
    </sheetView>
  </sheetViews>
  <sheetFormatPr defaultRowHeight="15" x14ac:dyDescent="0.25"/>
  <cols>
    <col min="1" max="1" width="13.140625" customWidth="1"/>
    <col min="2" max="2" width="10.85546875" customWidth="1"/>
    <col min="3" max="3" width="18" customWidth="1"/>
    <col min="4" max="4" width="17" customWidth="1"/>
    <col min="5" max="5" width="13.85546875" customWidth="1"/>
    <col min="6" max="6" width="15.42578125" customWidth="1"/>
  </cols>
  <sheetData>
    <row r="1" spans="1:6" x14ac:dyDescent="0.25">
      <c r="A1" t="s">
        <v>86</v>
      </c>
      <c r="B1" t="s">
        <v>70</v>
      </c>
      <c r="C1" t="s">
        <v>87</v>
      </c>
      <c r="D1" t="s">
        <v>88</v>
      </c>
      <c r="E1" t="s">
        <v>89</v>
      </c>
      <c r="F1" t="s">
        <v>90</v>
      </c>
    </row>
    <row r="2" spans="1:6" x14ac:dyDescent="0.25">
      <c r="A2" t="s">
        <v>91</v>
      </c>
      <c r="B2" t="str">
        <f>Shows[[#This Row],[Show_ID]]</f>
        <v>S101</v>
      </c>
      <c r="C2" t="s">
        <v>104</v>
      </c>
      <c r="D2">
        <v>3</v>
      </c>
      <c r="E2">
        <v>250</v>
      </c>
      <c r="F2" s="1">
        <v>45960</v>
      </c>
    </row>
    <row r="3" spans="1:6" x14ac:dyDescent="0.25">
      <c r="A3" t="s">
        <v>92</v>
      </c>
      <c r="B3" t="str">
        <f>Shows[[#This Row],[Show_ID]]</f>
        <v>S102</v>
      </c>
      <c r="C3" t="s">
        <v>102</v>
      </c>
      <c r="D3">
        <v>2</v>
      </c>
      <c r="E3">
        <v>200</v>
      </c>
      <c r="F3" s="1">
        <v>45961</v>
      </c>
    </row>
    <row r="4" spans="1:6" x14ac:dyDescent="0.25">
      <c r="A4" t="s">
        <v>93</v>
      </c>
      <c r="B4" t="str">
        <f>Shows[[#This Row],[Show_ID]]</f>
        <v>S103</v>
      </c>
      <c r="C4" t="s">
        <v>103</v>
      </c>
      <c r="D4">
        <v>5</v>
      </c>
      <c r="E4">
        <v>230</v>
      </c>
      <c r="F4" s="1">
        <v>45962</v>
      </c>
    </row>
    <row r="5" spans="1:6" x14ac:dyDescent="0.25">
      <c r="A5" t="s">
        <v>94</v>
      </c>
      <c r="B5" t="str">
        <f>Shows[[#This Row],[Show_ID]]</f>
        <v>S104</v>
      </c>
      <c r="C5" t="s">
        <v>101</v>
      </c>
      <c r="D5">
        <v>4</v>
      </c>
      <c r="E5">
        <v>250</v>
      </c>
      <c r="F5" s="1">
        <v>45963</v>
      </c>
    </row>
    <row r="6" spans="1:6" x14ac:dyDescent="0.25">
      <c r="A6" t="s">
        <v>95</v>
      </c>
      <c r="B6" t="str">
        <f>Shows[[#This Row],[Show_ID]]</f>
        <v>S105</v>
      </c>
      <c r="C6" t="s">
        <v>105</v>
      </c>
      <c r="D6">
        <v>3</v>
      </c>
      <c r="E6">
        <v>300</v>
      </c>
      <c r="F6" s="1">
        <v>45964</v>
      </c>
    </row>
    <row r="7" spans="1:6" x14ac:dyDescent="0.25">
      <c r="A7" t="s">
        <v>96</v>
      </c>
      <c r="B7" t="str">
        <f>Shows[[#This Row],[Show_ID]]</f>
        <v>S106</v>
      </c>
      <c r="C7" t="s">
        <v>106</v>
      </c>
      <c r="D7">
        <v>5</v>
      </c>
      <c r="E7">
        <v>190</v>
      </c>
      <c r="F7" s="1">
        <v>45965</v>
      </c>
    </row>
    <row r="8" spans="1:6" x14ac:dyDescent="0.25">
      <c r="A8" t="s">
        <v>97</v>
      </c>
      <c r="B8" t="str">
        <f>Shows[[#This Row],[Show_ID]]</f>
        <v>S107</v>
      </c>
      <c r="C8" t="s">
        <v>107</v>
      </c>
      <c r="D8">
        <v>1</v>
      </c>
      <c r="E8">
        <v>250</v>
      </c>
      <c r="F8" s="1">
        <v>45966</v>
      </c>
    </row>
    <row r="9" spans="1:6" x14ac:dyDescent="0.25">
      <c r="A9" t="s">
        <v>98</v>
      </c>
      <c r="B9" t="str">
        <f>Shows[[#This Row],[Show_ID]]</f>
        <v>S108</v>
      </c>
      <c r="C9" t="s">
        <v>108</v>
      </c>
      <c r="D9">
        <v>4</v>
      </c>
      <c r="E9">
        <v>200</v>
      </c>
      <c r="F9" s="1">
        <v>45967</v>
      </c>
    </row>
    <row r="10" spans="1:6" x14ac:dyDescent="0.25">
      <c r="A10" t="s">
        <v>99</v>
      </c>
      <c r="B10" t="str">
        <f>Shows[[#This Row],[Show_ID]]</f>
        <v>S109</v>
      </c>
      <c r="C10" t="s">
        <v>109</v>
      </c>
      <c r="D10">
        <v>5</v>
      </c>
      <c r="E10">
        <v>250</v>
      </c>
      <c r="F10" s="1">
        <v>45968</v>
      </c>
    </row>
    <row r="11" spans="1:6" x14ac:dyDescent="0.25">
      <c r="A11" t="s">
        <v>100</v>
      </c>
      <c r="B11" t="str">
        <f>Shows[[#This Row],[Show_ID]]</f>
        <v>S110</v>
      </c>
      <c r="C11" t="s">
        <v>110</v>
      </c>
      <c r="D11">
        <v>7</v>
      </c>
      <c r="E11">
        <v>300</v>
      </c>
      <c r="F11" s="1">
        <v>45969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4"/>
  <sheetViews>
    <sheetView topLeftCell="C1" workbookViewId="0">
      <selection activeCell="L9" sqref="L3:M14"/>
    </sheetView>
  </sheetViews>
  <sheetFormatPr defaultRowHeight="15" x14ac:dyDescent="0.25"/>
  <cols>
    <col min="1" max="1" width="13.140625" bestFit="1" customWidth="1"/>
    <col min="2" max="2" width="18.5703125" customWidth="1"/>
    <col min="3" max="3" width="21.85546875" bestFit="1" customWidth="1"/>
    <col min="5" max="5" width="13.140625" bestFit="1" customWidth="1"/>
    <col min="6" max="6" width="18.5703125" bestFit="1" customWidth="1"/>
    <col min="7" max="7" width="21.85546875" bestFit="1" customWidth="1"/>
    <col min="9" max="9" width="13.140625" bestFit="1" customWidth="1"/>
    <col min="10" max="10" width="21.85546875" bestFit="1" customWidth="1"/>
    <col min="11" max="11" width="9.85546875" customWidth="1"/>
    <col min="12" max="12" width="13.140625" bestFit="1" customWidth="1"/>
    <col min="13" max="13" width="21.85546875" bestFit="1" customWidth="1"/>
  </cols>
  <sheetData>
    <row r="3" spans="1:13" x14ac:dyDescent="0.25">
      <c r="A3" s="13" t="s">
        <v>111</v>
      </c>
      <c r="B3" t="s">
        <v>121</v>
      </c>
      <c r="C3" t="s">
        <v>122</v>
      </c>
      <c r="E3" s="13" t="s">
        <v>111</v>
      </c>
      <c r="F3" t="s">
        <v>121</v>
      </c>
      <c r="G3" t="s">
        <v>122</v>
      </c>
      <c r="I3" s="13" t="s">
        <v>111</v>
      </c>
      <c r="J3" t="s">
        <v>122</v>
      </c>
      <c r="L3" s="13" t="s">
        <v>111</v>
      </c>
      <c r="M3" t="s">
        <v>122</v>
      </c>
    </row>
    <row r="4" spans="1:13" x14ac:dyDescent="0.25">
      <c r="A4" s="14" t="s">
        <v>105</v>
      </c>
      <c r="B4" s="15">
        <v>300</v>
      </c>
      <c r="C4" s="15">
        <v>3</v>
      </c>
      <c r="E4" s="17" t="s">
        <v>129</v>
      </c>
      <c r="F4" s="15">
        <v>250</v>
      </c>
      <c r="G4" s="15">
        <v>3</v>
      </c>
      <c r="I4" s="14" t="s">
        <v>91</v>
      </c>
      <c r="J4" s="15">
        <v>3</v>
      </c>
      <c r="L4" s="14" t="s">
        <v>73</v>
      </c>
      <c r="M4" s="15">
        <v>3</v>
      </c>
    </row>
    <row r="5" spans="1:13" x14ac:dyDescent="0.25">
      <c r="A5" s="14" t="s">
        <v>107</v>
      </c>
      <c r="B5" s="15">
        <v>250</v>
      </c>
      <c r="C5" s="15">
        <v>1</v>
      </c>
      <c r="E5" s="17" t="s">
        <v>125</v>
      </c>
      <c r="F5" s="15">
        <v>200</v>
      </c>
      <c r="G5" s="15">
        <v>2</v>
      </c>
      <c r="I5" s="14" t="s">
        <v>92</v>
      </c>
      <c r="J5" s="15">
        <v>2</v>
      </c>
      <c r="L5" s="14" t="s">
        <v>74</v>
      </c>
      <c r="M5" s="15">
        <v>2</v>
      </c>
    </row>
    <row r="6" spans="1:13" x14ac:dyDescent="0.25">
      <c r="A6" s="14" t="s">
        <v>102</v>
      </c>
      <c r="B6" s="15">
        <v>200</v>
      </c>
      <c r="C6" s="15">
        <v>2</v>
      </c>
      <c r="E6" s="17" t="s">
        <v>131</v>
      </c>
      <c r="F6" s="15">
        <v>230</v>
      </c>
      <c r="G6" s="15">
        <v>5</v>
      </c>
      <c r="I6" s="14" t="s">
        <v>93</v>
      </c>
      <c r="J6" s="15">
        <v>5</v>
      </c>
      <c r="L6" s="14" t="s">
        <v>75</v>
      </c>
      <c r="M6" s="15">
        <v>5</v>
      </c>
    </row>
    <row r="7" spans="1:13" x14ac:dyDescent="0.25">
      <c r="A7" s="14" t="s">
        <v>110</v>
      </c>
      <c r="B7" s="15">
        <v>300</v>
      </c>
      <c r="C7" s="15">
        <v>7</v>
      </c>
      <c r="E7" s="17" t="s">
        <v>128</v>
      </c>
      <c r="F7" s="15">
        <v>250</v>
      </c>
      <c r="G7" s="15">
        <v>4</v>
      </c>
      <c r="I7" s="14" t="s">
        <v>94</v>
      </c>
      <c r="J7" s="15">
        <v>4</v>
      </c>
      <c r="L7" s="14" t="s">
        <v>76</v>
      </c>
      <c r="M7" s="15">
        <v>4</v>
      </c>
    </row>
    <row r="8" spans="1:13" x14ac:dyDescent="0.25">
      <c r="A8" s="14" t="s">
        <v>106</v>
      </c>
      <c r="B8" s="15">
        <v>190</v>
      </c>
      <c r="C8" s="15">
        <v>5</v>
      </c>
      <c r="E8" s="17" t="s">
        <v>123</v>
      </c>
      <c r="F8" s="15">
        <v>300</v>
      </c>
      <c r="G8" s="15">
        <v>3</v>
      </c>
      <c r="I8" s="14" t="s">
        <v>95</v>
      </c>
      <c r="J8" s="15">
        <v>3</v>
      </c>
      <c r="L8" s="14" t="s">
        <v>77</v>
      </c>
      <c r="M8" s="15">
        <v>3</v>
      </c>
    </row>
    <row r="9" spans="1:13" x14ac:dyDescent="0.25">
      <c r="A9" s="14" t="s">
        <v>101</v>
      </c>
      <c r="B9" s="15">
        <v>250</v>
      </c>
      <c r="C9" s="15">
        <v>4</v>
      </c>
      <c r="E9" s="17" t="s">
        <v>127</v>
      </c>
      <c r="F9" s="15">
        <v>190</v>
      </c>
      <c r="G9" s="15">
        <v>5</v>
      </c>
      <c r="I9" s="14" t="s">
        <v>96</v>
      </c>
      <c r="J9" s="15">
        <v>5</v>
      </c>
      <c r="L9" s="14" t="s">
        <v>78</v>
      </c>
      <c r="M9" s="15">
        <v>5</v>
      </c>
    </row>
    <row r="10" spans="1:13" x14ac:dyDescent="0.25">
      <c r="A10" s="14" t="s">
        <v>104</v>
      </c>
      <c r="B10" s="15">
        <v>250</v>
      </c>
      <c r="C10" s="15">
        <v>3</v>
      </c>
      <c r="E10" s="17" t="s">
        <v>124</v>
      </c>
      <c r="F10" s="15">
        <v>250</v>
      </c>
      <c r="G10" s="15">
        <v>1</v>
      </c>
      <c r="I10" s="14" t="s">
        <v>97</v>
      </c>
      <c r="J10" s="15">
        <v>1</v>
      </c>
      <c r="L10" s="14" t="s">
        <v>79</v>
      </c>
      <c r="M10" s="15">
        <v>1</v>
      </c>
    </row>
    <row r="11" spans="1:13" x14ac:dyDescent="0.25">
      <c r="A11" s="14" t="s">
        <v>108</v>
      </c>
      <c r="B11" s="15">
        <v>200</v>
      </c>
      <c r="C11" s="15">
        <v>4</v>
      </c>
      <c r="E11" s="17" t="s">
        <v>130</v>
      </c>
      <c r="F11" s="15">
        <v>200</v>
      </c>
      <c r="G11" s="15">
        <v>4</v>
      </c>
      <c r="I11" s="14" t="s">
        <v>98</v>
      </c>
      <c r="J11" s="15">
        <v>4</v>
      </c>
      <c r="L11" s="14" t="s">
        <v>80</v>
      </c>
      <c r="M11" s="15">
        <v>4</v>
      </c>
    </row>
    <row r="12" spans="1:13" x14ac:dyDescent="0.25">
      <c r="A12" s="14" t="s">
        <v>103</v>
      </c>
      <c r="B12" s="15">
        <v>230</v>
      </c>
      <c r="C12" s="15">
        <v>5</v>
      </c>
      <c r="E12" s="17" t="s">
        <v>132</v>
      </c>
      <c r="F12" s="15">
        <v>250</v>
      </c>
      <c r="G12" s="15">
        <v>5</v>
      </c>
      <c r="I12" s="14" t="s">
        <v>99</v>
      </c>
      <c r="J12" s="15">
        <v>5</v>
      </c>
      <c r="L12" s="14" t="s">
        <v>81</v>
      </c>
      <c r="M12" s="15">
        <v>5</v>
      </c>
    </row>
    <row r="13" spans="1:13" x14ac:dyDescent="0.25">
      <c r="A13" s="14" t="s">
        <v>109</v>
      </c>
      <c r="B13" s="15">
        <v>250</v>
      </c>
      <c r="C13" s="15">
        <v>5</v>
      </c>
      <c r="E13" s="17" t="s">
        <v>126</v>
      </c>
      <c r="F13" s="15">
        <v>300</v>
      </c>
      <c r="G13" s="15">
        <v>7</v>
      </c>
      <c r="I13" s="14" t="s">
        <v>100</v>
      </c>
      <c r="J13" s="15">
        <v>7</v>
      </c>
      <c r="L13" s="14" t="s">
        <v>82</v>
      </c>
      <c r="M13" s="15">
        <v>7</v>
      </c>
    </row>
    <row r="14" spans="1:13" x14ac:dyDescent="0.25">
      <c r="A14" s="14" t="s">
        <v>112</v>
      </c>
      <c r="B14" s="15">
        <v>2420</v>
      </c>
      <c r="C14" s="15">
        <v>39</v>
      </c>
      <c r="E14" s="17" t="s">
        <v>112</v>
      </c>
      <c r="F14" s="15">
        <v>2420</v>
      </c>
      <c r="G14" s="15">
        <v>39</v>
      </c>
      <c r="I14" s="14" t="s">
        <v>112</v>
      </c>
      <c r="J14" s="15">
        <v>39</v>
      </c>
      <c r="L14" s="14" t="s">
        <v>112</v>
      </c>
      <c r="M14" s="15">
        <v>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0" zoomScaleNormal="90" workbookViewId="0">
      <selection activeCell="Q10" sqref="Q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4" zoomScale="60" zoomScaleNormal="60" workbookViewId="0">
      <selection activeCell="O136" sqref="O136"/>
    </sheetView>
  </sheetViews>
  <sheetFormatPr defaultRowHeight="15" x14ac:dyDescent="0.25"/>
  <cols>
    <col min="1" max="16384" width="9.14062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5FC095-FC07-4B81-9DC3-1D6D7BE87D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Movie</vt:lpstr>
      <vt:lpstr>MoviePivot</vt:lpstr>
      <vt:lpstr>Sheet4</vt:lpstr>
      <vt:lpstr>MovieDashBoard</vt:lpstr>
      <vt:lpstr>Theater</vt:lpstr>
      <vt:lpstr>TheaterPivot</vt:lpstr>
      <vt:lpstr>TheaterDashboard</vt:lpstr>
      <vt:lpstr>Shows</vt:lpstr>
      <vt:lpstr>showspivot</vt:lpstr>
      <vt:lpstr>showsdashboard</vt:lpstr>
      <vt:lpstr>Bookings</vt:lpstr>
      <vt:lpstr>bookingpivot</vt:lpstr>
      <vt:lpstr>bookingdashboard</vt:lpstr>
      <vt:lpstr>main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2025-10-28T11:42:04Z</dcterms:created>
  <dcterms:modified xsi:type="dcterms:W3CDTF">2025-11-01T12:19:10Z</dcterms:modified>
</cp:coreProperties>
</file>